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k15/CmJe4HO5uSxARA6G/isOKvgTdHDWEkmT4ElP6k8="/>
    </ext>
  </extLst>
</workbook>
</file>

<file path=xl/sharedStrings.xml><?xml version="1.0" encoding="utf-8"?>
<sst xmlns="http://schemas.openxmlformats.org/spreadsheetml/2006/main" count="1086" uniqueCount="455">
  <si>
    <t>Tablas resultantes del Diccionario Genérico (Modelo Lógico)</t>
  </si>
  <si>
    <t>Tipos de Datos - Tabla Comparativa</t>
  </si>
  <si>
    <t>#</t>
  </si>
  <si>
    <t>Tabla</t>
  </si>
  <si>
    <t>Descripción Tabla</t>
  </si>
  <si>
    <t>Observaciones</t>
  </si>
  <si>
    <t>Tipo de Dato Genérico</t>
  </si>
  <si>
    <t>Tipos de Dato - PosgreSQL</t>
  </si>
  <si>
    <t>Dominio</t>
  </si>
  <si>
    <t>usuario</t>
  </si>
  <si>
    <t>Tamaño
BYTES</t>
  </si>
  <si>
    <t>Almacena los datos principales de los usuarios.</t>
  </si>
  <si>
    <t>Contiene credenciales e información base. Clave Primaria: id_usuario.</t>
  </si>
  <si>
    <t>AUTOINCREMENTABLE</t>
  </si>
  <si>
    <t>SERIAL / BIGSERIAL</t>
  </si>
  <si>
    <t>Números enteros consecutivos (1, 2, 3...)</t>
  </si>
  <si>
    <t>4 bytes / 8 bytes</t>
  </si>
  <si>
    <t>Genera secuencias automáticas. Ideal para claves primarias (id).</t>
  </si>
  <si>
    <t>rol</t>
  </si>
  <si>
    <t>Define los roles y permisos de los usuarios.</t>
  </si>
  <si>
    <t>Catálogo de roles estáticos (Admin, Estandar, etc.).</t>
  </si>
  <si>
    <t>tipo_usuario</t>
  </si>
  <si>
    <t>Clasifica a los usuarios según su tipo.</t>
  </si>
  <si>
    <t>Catálogo (Ej: Estudiante, Docente, Egresado).</t>
  </si>
  <si>
    <t>perfil</t>
  </si>
  <si>
    <t>Guarda la información personal, académica e intereses del usuario.</t>
  </si>
  <si>
    <t>Relación 1:1 con la tabla usuario.</t>
  </si>
  <si>
    <t>publicacion</t>
  </si>
  <si>
    <t>Almacena las publicaciones realizadas por los usuarios.</t>
  </si>
  <si>
    <t>Contiene clave foránea hacia la tabla usuario.</t>
  </si>
  <si>
    <t>comentario</t>
  </si>
  <si>
    <t>UUID</t>
  </si>
  <si>
    <t>Registra los comentarios de las publicaciones.</t>
  </si>
  <si>
    <t>Depende de las tablas usuario y publicacion.</t>
  </si>
  <si>
    <t>Universally Unique Identifier (36 caracteres)</t>
  </si>
  <si>
    <t>16 bytes</t>
  </si>
  <si>
    <t>Identificador único universal de 128 bits. Recomendado para entornos distribuidos.</t>
  </si>
  <si>
    <t>grupo</t>
  </si>
  <si>
    <t>Almacena los grupos creados en la plataforma.</t>
  </si>
  <si>
    <t>Contiene la referencia al usuario creador.</t>
  </si>
  <si>
    <t>ENTERO</t>
  </si>
  <si>
    <t>INTEGER / INT</t>
  </si>
  <si>
    <t>tipo_servicio</t>
  </si>
  <si>
    <t>$-2,147,483,648$ a $+2,147,483,647$</t>
  </si>
  <si>
    <t>Clasifica los servicios disponibles.</t>
  </si>
  <si>
    <t>4 bytes</t>
  </si>
  <si>
    <t>Tabla catálogo o de referencia.</t>
  </si>
  <si>
    <t>Almacena números enteros estándar sin decimales.</t>
  </si>
  <si>
    <t>DECIMAL</t>
  </si>
  <si>
    <t>servicio</t>
  </si>
  <si>
    <t>NUMERIC(p,s) / DECIMAL</t>
  </si>
  <si>
    <t>Registra los servicios ofrecidos por los usuarios.</t>
  </si>
  <si>
    <t>Números exactos con precisión y escala</t>
  </si>
  <si>
    <t>Servicios prestados en la comunidad.</t>
  </si>
  <si>
    <t>Variable (hasta 1000 dígitos)</t>
  </si>
  <si>
    <t>Usado en dinero/valores económicos. Evita errores de redondeo flotante.</t>
  </si>
  <si>
    <t>tipo_producto</t>
  </si>
  <si>
    <t>LÓGICO</t>
  </si>
  <si>
    <t>Clasifica los productos publicados.</t>
  </si>
  <si>
    <t>BOOLEAN / BOOL</t>
  </si>
  <si>
    <t>Validez lógica: TRUE, FALSE, NULL</t>
  </si>
  <si>
    <t>1 byte</t>
  </si>
  <si>
    <t>Almacena valores de verdadero o falso.</t>
  </si>
  <si>
    <t>producto</t>
  </si>
  <si>
    <t>Almacena los productos ofrecidos para la venta.</t>
  </si>
  <si>
    <t>TEXTO</t>
  </si>
  <si>
    <t>Vinculado al usuario vendedor y al tipo de producto.</t>
  </si>
  <si>
    <t>TEXT</t>
  </si>
  <si>
    <t>Cadenas de texto de longitud ilimitada</t>
  </si>
  <si>
    <t>Variable (hasta 1 GB)</t>
  </si>
  <si>
    <t>Ideal para descripciones largas, publicaciones o contenidos extensos.</t>
  </si>
  <si>
    <t>tipo_evento</t>
  </si>
  <si>
    <t>Clasifica los eventos de la plataforma.</t>
  </si>
  <si>
    <t>CARACTER</t>
  </si>
  <si>
    <t>CHAR(n)</t>
  </si>
  <si>
    <t>Cadenas de texto de longitud fija n</t>
  </si>
  <si>
    <t>n bytes</t>
  </si>
  <si>
    <t>Si la cadena es más corta, la rellena con espacios en blanco.</t>
  </si>
  <si>
    <t>evento</t>
  </si>
  <si>
    <t>Registra los eventos organizados por los usuarios.</t>
  </si>
  <si>
    <t>Vinculado al organizador y al tipo de evento.</t>
  </si>
  <si>
    <t>FECHA</t>
  </si>
  <si>
    <t>DATE</t>
  </si>
  <si>
    <t>Fechas en formato AAAA-MM-DD</t>
  </si>
  <si>
    <t>Almacena solo la fecha (año, mes, día) sin incluir horas.</t>
  </si>
  <si>
    <t>seguimiento</t>
  </si>
  <si>
    <t>Registra qué usuario sigue a otro.</t>
  </si>
  <si>
    <t>Tabla puente (N:M). Clave primaria compuesta.</t>
  </si>
  <si>
    <t>FECHA_HORA</t>
  </si>
  <si>
    <t>TIMESTAMP / TIMESTAMPTZ</t>
  </si>
  <si>
    <t>Fecha y hora (con o sin zona horaria)</t>
  </si>
  <si>
    <t>8 bytes</t>
  </si>
  <si>
    <t>Registra momento exacto de eventos o transacciones (CURRENT_TIMESTAMP).</t>
  </si>
  <si>
    <t>reaccion</t>
  </si>
  <si>
    <t>Almacena las reacciones a las publicaciones.</t>
  </si>
  <si>
    <t>Tabla puente con atributo propio (tipo de reacción).</t>
  </si>
  <si>
    <t>IMAGEN</t>
  </si>
  <si>
    <t>BYTEA</t>
  </si>
  <si>
    <t>Datos binarios de archivos multimedia</t>
  </si>
  <si>
    <t>compra</t>
  </si>
  <si>
    <t>Registra las compras realizadas por los usuarios.</t>
  </si>
  <si>
    <t>Vía binario directo o guardando la URL/Ruta corta del archivo en VARCHAR.</t>
  </si>
  <si>
    <t>Posee atributos transaccionales</t>
  </si>
  <si>
    <t>AUDIO</t>
  </si>
  <si>
    <t>membresia_grupo</t>
  </si>
  <si>
    <t>Registra la pertenencia de usuarios a grupos.</t>
  </si>
  <si>
    <t>Archivos de sonido/audio binarios</t>
  </si>
  <si>
    <t>Tabla puente. Incluye el rol del usuario dentro del grupo.</t>
  </si>
  <si>
    <t>Generalmente se almacena la ruta/URL en BD y el archivo en servidor/S3.</t>
  </si>
  <si>
    <t>URL</t>
  </si>
  <si>
    <t>solicitud_servicio</t>
  </si>
  <si>
    <t>Almacena las solicitudes de servicios.</t>
  </si>
  <si>
    <t>Tabla transaccional para seguimiento de estados (Pendiente, Aceptada, etc.</t>
  </si>
  <si>
    <t>VARCHAR(n)</t>
  </si>
  <si>
    <t>asignacion_rol</t>
  </si>
  <si>
    <t>Relaciona los roles con los usuarios.</t>
  </si>
  <si>
    <t>Direcciones e hipervínculos web</t>
  </si>
  <si>
    <t>Variable (según n)</t>
  </si>
  <si>
    <t>Almacena rutas relativas o absolutas a recursos web/archivos.</t>
  </si>
  <si>
    <t>clasificacion_usuario</t>
  </si>
  <si>
    <t>Relaciona los tipos de usuario con los usuarios.</t>
  </si>
  <si>
    <t>ENUM</t>
  </si>
  <si>
    <t>ENUM / VARCHAR con CHECK</t>
  </si>
  <si>
    <t>Conjunto estático de valores permitidos</t>
  </si>
  <si>
    <t>4 bytes (como tipo personalizado)</t>
  </si>
  <si>
    <t>Restringe los datos a una lista fija (ej: 'ACTIVO', 'INACTIVO').</t>
  </si>
  <si>
    <t>TEXTO_CORTO (opcional)</t>
  </si>
  <si>
    <t>Cadenas de caracteres de longitud variable hasta n</t>
  </si>
  <si>
    <t>Variable 1 a N bytes</t>
  </si>
  <si>
    <t>Optimiza espacio; se ajusta exactamente a la longitud real del texto ingresado.</t>
  </si>
  <si>
    <t>BINARIO (opcional)</t>
  </si>
  <si>
    <t>Datos en bytes puros sin codificación de texto</t>
  </si>
  <si>
    <t>Variable</t>
  </si>
  <si>
    <t>Utilizado para firmas digitales, archivos pequeños o hashes criptográficos.</t>
  </si>
  <si>
    <t>usuario_perfil</t>
  </si>
  <si>
    <t>JSON</t>
  </si>
  <si>
    <t>Vincula usuarios con sus perfiles.</t>
  </si>
  <si>
    <t>JSONB</t>
  </si>
  <si>
    <t>usuario_publicacion</t>
  </si>
  <si>
    <t>Objetos JSON almacenados en formato binario estructurado</t>
  </si>
  <si>
    <t>Relaciona usuarios con las publicaciones que realizan.</t>
  </si>
  <si>
    <t>Permite indexación rápida y búsquedas dentro de estructuras JSON semiestructuradas.</t>
  </si>
  <si>
    <t>usuario_comentario</t>
  </si>
  <si>
    <t>Vincula usuarios con los comentarios que escriben.</t>
  </si>
  <si>
    <t>publicacion_comentario</t>
  </si>
  <si>
    <t>Relaciona publicaciones con sus comentarios.</t>
  </si>
  <si>
    <t>usuario_grupo</t>
  </si>
  <si>
    <t>Registra la relación entre usuarios creadores y grupos.</t>
  </si>
  <si>
    <t>grupo_membresia</t>
  </si>
  <si>
    <t>Vincula grupos con sus membresías.</t>
  </si>
  <si>
    <t>usuario_membresia</t>
  </si>
  <si>
    <t>Vincula usuarios con sus membresías.</t>
  </si>
  <si>
    <t>usuario_servicio</t>
  </si>
  <si>
    <t>Relaciona usuarios con los servicios que ofrecen.</t>
  </si>
  <si>
    <t>servicio_tipo_servicio</t>
  </si>
  <si>
    <t>Vincula servicios con su categoría.</t>
  </si>
  <si>
    <t>usuario_solicitud_servicio</t>
  </si>
  <si>
    <t>Relaciona usuarios con sus solicitudes de servicio.</t>
  </si>
  <si>
    <t>servicio_solicitud</t>
  </si>
  <si>
    <t>Vincula servicios con las solicitudes recibidas.</t>
  </si>
  <si>
    <t>usuario_producto</t>
  </si>
  <si>
    <t>Relaciona usuarios con los productos publicados.</t>
  </si>
  <si>
    <t>producto_tipo_producto</t>
  </si>
  <si>
    <t>Vincula productos con su categoría.</t>
  </si>
  <si>
    <t>producto_compra</t>
  </si>
  <si>
    <t>Relaciona productos con las compras correspondientes.</t>
  </si>
  <si>
    <t>usuario_compra</t>
  </si>
  <si>
    <t>Vincula usuarios con las compras realizadas.</t>
  </si>
  <si>
    <t>usuario_evento</t>
  </si>
  <si>
    <t>Relaciona usuarios con los eventos que organizan.</t>
  </si>
  <si>
    <t>evento_tipo_evento</t>
  </si>
  <si>
    <t>Vincula eventos con su categoría.</t>
  </si>
  <si>
    <t>usuario_seguimiento_inicia</t>
  </si>
  <si>
    <t>Identifica al usuario que inicia un seguimiento.</t>
  </si>
  <si>
    <t>usuario_seguimiento_recibe</t>
  </si>
  <si>
    <t>Identifica al usuario que recibe un seguimiento.</t>
  </si>
  <si>
    <t>usuario_reaccion</t>
  </si>
  <si>
    <t>Relaciona usuarios con las reacciones que realizan.</t>
  </si>
  <si>
    <t>publicacion_reaccion</t>
  </si>
  <si>
    <t>Vincula publicaciones con las reacciones recibidas.</t>
  </si>
  <si>
    <t>DICCIONARIO DE DATOS FÍSICO (PostgreSQL)</t>
  </si>
  <si>
    <t>Inventario de Tablas</t>
  </si>
  <si>
    <t>Usuario</t>
  </si>
  <si>
    <t>Almacena la información de los usuarios registrados en la red social pascualina.</t>
  </si>
  <si>
    <t>Entidad Fuerte / Principal. Contiene llaves foráneas a rol y tipo_usuario</t>
  </si>
  <si>
    <t>Define los roles y nivel de permisos dentro del sistema (ej. Administrador, Moderador, Usuario).</t>
  </si>
  <si>
    <t>Entidad Catálogo / Fuerte. Relación 1:N con usuario</t>
  </si>
  <si>
    <t>tipo_de_usuario</t>
  </si>
  <si>
    <t>Clasifica a los usuarios según su perfil en la institución (estudiante, docente, egresado, etc.).</t>
  </si>
  <si>
    <t>Almacena la información extendida del usuario como intereses, habilidades y datos flexibles en JSON/JSONB.</t>
  </si>
  <si>
    <t>Contiene el material, publicaciones o post creados por los usuarios.</t>
  </si>
  <si>
    <t>Almacena los comentarios realizamos por los usuarios en las publicaciones.</t>
  </si>
  <si>
    <t>Representa las comunidades, equipos de estudio o clubes creados dentro de la red.</t>
  </si>
  <si>
    <t>Clasificación o categorías de los servicios que se ofertan.</t>
  </si>
  <si>
    <t>Registra las ofertas de servicios académicos o profesionales prestados por un usuario.</t>
  </si>
  <si>
    <t>Categorías para clasificar los productos ofrecidos en venta.</t>
  </si>
  <si>
    <t>Almacena los productos publicados por los usuarios para venta o intercambio.</t>
  </si>
  <si>
    <t>Categorización general de las actividades o eventos.</t>
  </si>
  <si>
    <t>Almacena las actividades u organizadas por un usuario dentro de la institución.</t>
  </si>
  <si>
    <t>Almacena la relación de seguimiento entre usuarios (quién sigue a quién).</t>
  </si>
  <si>
    <t>Registra los likes o reacciones de un usuario sobre una publicación en específico.</t>
  </si>
  <si>
    <t>Almacena las órdenes o transacciones de adquisición de productos.</t>
  </si>
  <si>
    <t>Registra los miembros pertenecientes a los grupos y el estado de su membresía.</t>
  </si>
  <si>
    <t>Registra las solicitudes enviadas por usuarios interesados en contratar un servicio.</t>
  </si>
  <si>
    <t>Tablas en Detalle</t>
  </si>
  <si>
    <t>Versión</t>
  </si>
  <si>
    <t>.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</si>
  <si>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</si>
  <si>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</si>
  <si>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</si>
  <si>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</si>
  <si>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</si>
  <si>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</si>
  <si>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</si>
  <si>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</si>
  <si>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</si>
  <si>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id_usuario</t>
  </si>
  <si>
    <t xml:space="preserve">Identificador único del usuario dentro de la Red Social Pascualina
</t>
  </si>
  <si>
    <t xml:space="preserve">SERIAL / INT
</t>
  </si>
  <si>
    <t xml:space="preserve">4 bytes
</t>
  </si>
  <si>
    <t>NO</t>
  </si>
  <si>
    <t>S</t>
  </si>
  <si>
    <t xml:space="preserve">Llave primaria autoincrementa
</t>
  </si>
  <si>
    <t>nombre</t>
  </si>
  <si>
    <t xml:space="preserve">Nombre del usuario                      </t>
  </si>
  <si>
    <t>VARCHAR</t>
  </si>
  <si>
    <t>Nombre pila</t>
  </si>
  <si>
    <t>apellido</t>
  </si>
  <si>
    <t>Apellido del ususario</t>
  </si>
  <si>
    <t>Apellidos completos</t>
  </si>
  <si>
    <t>correo</t>
  </si>
  <si>
    <t>correo electronico del usuario</t>
  </si>
  <si>
    <t>Correo institucional o personal unico</t>
  </si>
  <si>
    <t>contrasena</t>
  </si>
  <si>
    <t>contraseña del usuario</t>
  </si>
  <si>
    <t>Almacen en hash</t>
  </si>
  <si>
    <t>fecha_registro</t>
  </si>
  <si>
    <t>fecha en la cual el usuario se registra en la plataforma</t>
  </si>
  <si>
    <t>TIMESTAMP</t>
  </si>
  <si>
    <t>Valor por defecto CURRENT_TIMESTAMP</t>
  </si>
  <si>
    <t>estado</t>
  </si>
  <si>
    <t>indica si el usuario se encuentra activo o inactivo</t>
  </si>
  <si>
    <t>Ejemplo: "Activo" "Inactivo"</t>
  </si>
  <si>
    <t>Tipo Dato
(PostgreSQL)</t>
  </si>
  <si>
    <t>id_rol</t>
  </si>
  <si>
    <t>Identificador del único rol</t>
  </si>
  <si>
    <t>SERIAL / INT</t>
  </si>
  <si>
    <t xml:space="preserve">NO </t>
  </si>
  <si>
    <t>Llave primaria autoincremental</t>
  </si>
  <si>
    <t>nombre_rol</t>
  </si>
  <si>
    <t>Nombre del rol asignado dentro de la plataforma</t>
  </si>
  <si>
    <t>Ejemplo: Administrador, Usuario, Mod</t>
  </si>
  <si>
    <t>descripcion</t>
  </si>
  <si>
    <t>Explicación de los permisos o funciones del rol</t>
  </si>
  <si>
    <t>SI</t>
  </si>
  <si>
    <t>Descripción detallada de permisos</t>
  </si>
  <si>
    <t>id_tipo_usuario</t>
  </si>
  <si>
    <t>Identificador único del tipo de usuario</t>
  </si>
  <si>
    <t>nombre_tipo</t>
  </si>
  <si>
    <t>Nombre del tipo usuario</t>
  </si>
  <si>
    <t>Ejm: Estudiante, docente, egresado, ETC..</t>
  </si>
  <si>
    <t>Descripción del tipo de usuario</t>
  </si>
  <si>
    <t>Detalles de la categoría</t>
  </si>
  <si>
    <t>id_perfil</t>
  </si>
  <si>
    <t>Identificador único del perfil</t>
  </si>
  <si>
    <t>Usuario propietario del perfil</t>
  </si>
  <si>
    <t>INT</t>
  </si>
  <si>
    <t>Relación 1:1 con la tabla usuario</t>
  </si>
  <si>
    <t>area_estudio</t>
  </si>
  <si>
    <t>Área académica o profesional del usuario</t>
  </si>
  <si>
    <t>Facultad o programa académico</t>
  </si>
  <si>
    <t>intereses</t>
  </si>
  <si>
    <t>Información general sobre los intereses del usuario</t>
  </si>
  <si>
    <t>Variables</t>
  </si>
  <si>
    <t>Pasatiempos o temas de interés</t>
  </si>
  <si>
    <t>habilidades</t>
  </si>
  <si>
    <t>Habilidades del usuario en diferentes disciplinas o actividades</t>
  </si>
  <si>
    <t xml:space="preserve">Competencias profesionales/técnicas
</t>
  </si>
  <si>
    <t>informacion_adicional</t>
  </si>
  <si>
    <t>Información flexible almacenada en formato JSON</t>
  </si>
  <si>
    <t>Datos estructurados adicionales</t>
  </si>
  <si>
    <t>id_publicacion</t>
  </si>
  <si>
    <t>identificador único de la publicacion</t>
  </si>
  <si>
    <t>SERIAL /  INT</t>
  </si>
  <si>
    <t>Usuario que realiza la publicación</t>
  </si>
  <si>
    <t>Relación con tabla usuario</t>
  </si>
  <si>
    <t>contenido</t>
  </si>
  <si>
    <t>Texto o contenido principal de la publicación</t>
  </si>
  <si>
    <t>Cuerpo del post o publicación</t>
  </si>
  <si>
    <t>tipo_contenido</t>
  </si>
  <si>
    <t>Tipo de contenido publicado</t>
  </si>
  <si>
    <t>Ejemplo: Texto, Imagen, Video, Enlace</t>
  </si>
  <si>
    <t>fecha_publicacion</t>
  </si>
  <si>
    <t>Fecha y hora en que se realizó la publicación</t>
  </si>
  <si>
    <t>Estado actual de la publicación</t>
  </si>
  <si>
    <t>Ejemplo: 'PUBLICADO', 'ELIMINADO'</t>
  </si>
  <si>
    <t>id_comentario</t>
  </si>
  <si>
    <t>Identificador único del comentario</t>
  </si>
  <si>
    <t>Usuario que realiza el comentario</t>
  </si>
  <si>
    <t>Publicación sobre la cual se realiza el comentario</t>
  </si>
  <si>
    <t>Relación con tabla publicacion</t>
  </si>
  <si>
    <t>Texto del comentario</t>
  </si>
  <si>
    <t>Texto del comentario respondido</t>
  </si>
  <si>
    <t>fecha_comentario</t>
  </si>
  <si>
    <t>Fecha y hora en que se realiza el comentario</t>
  </si>
  <si>
    <t>Estado del comentario</t>
  </si>
  <si>
    <t>Ejemplo: 'ACTIVO', 'MODERADO'</t>
  </si>
  <si>
    <t>id_grupo</t>
  </si>
  <si>
    <t>Identificador único del grupo</t>
  </si>
  <si>
    <t xml:space="preserve">Llave primaria autoincremental	</t>
  </si>
  <si>
    <t>Usuario que crea el grupo</t>
  </si>
  <si>
    <t>Usuario creador/administrador del grupo</t>
  </si>
  <si>
    <t>nombre_grupo</t>
  </si>
  <si>
    <t>Nombre del grupo</t>
  </si>
  <si>
    <t>Nombre representativo del grupo</t>
  </si>
  <si>
    <t>Descripción o propósito del grupo</t>
  </si>
  <si>
    <t>Objetivos o resumen del grupo</t>
  </si>
  <si>
    <t>fecha_creacion</t>
  </si>
  <si>
    <t>Fecha en que fue creado el grupo</t>
  </si>
  <si>
    <t>Estado actual del grupo</t>
  </si>
  <si>
    <t>Ejemplo: 'ACTIVO', 'CERRADO'</t>
  </si>
  <si>
    <t>id_tipo_servicio</t>
  </si>
  <si>
    <t>Identificador único del tipo de servicio</t>
  </si>
  <si>
    <t>nombre_tipo_servicio</t>
  </si>
  <si>
    <t>Nombre de la categoría del servicio</t>
  </si>
  <si>
    <t>Ejemplo: Tutorías, Mantenimiento, etc</t>
  </si>
  <si>
    <t>Descripción del tipo de servicio</t>
  </si>
  <si>
    <t>Detalles del tipo de servicio</t>
  </si>
  <si>
    <t>Indica si el tipo de servicio está disponible</t>
  </si>
  <si>
    <t>Ejemplo: 'ACTIVO', 'INACTIVO'</t>
  </si>
  <si>
    <t>id_servicio</t>
  </si>
  <si>
    <t>Identificador único del servicio</t>
  </si>
  <si>
    <t>Usuario que ofrece el servicio</t>
  </si>
  <si>
    <t>Tipo al que pertenece el servicio</t>
  </si>
  <si>
    <t>Relación con tabla tipo_servicio</t>
  </si>
  <si>
    <t>Nombre del servicio ofrecido</t>
  </si>
  <si>
    <t>Título del servicio</t>
  </si>
  <si>
    <t>Información detallada del servicio</t>
  </si>
  <si>
    <t>Descripción de lo que incluye el servicio</t>
  </si>
  <si>
    <t>precio</t>
  </si>
  <si>
    <t>Valor económico del servicio</t>
  </si>
  <si>
    <t>NUMERIC</t>
  </si>
  <si>
    <t>Precio o tarifa del servicio</t>
  </si>
  <si>
    <t>duracion</t>
  </si>
  <si>
    <t>Tiempo aproximado de duración del servicio</t>
  </si>
  <si>
    <t>Ejemplo: '1 Hora', '2 Semanas’</t>
  </si>
  <si>
    <t>id_tipo_producto</t>
  </si>
  <si>
    <t>Identificador único del tipo de producto</t>
  </si>
  <si>
    <t>nombre_tipo_producto</t>
  </si>
  <si>
    <t>Nombre de la categoría del producto</t>
  </si>
  <si>
    <t>Libros, Tecnología, Papelería, etc.</t>
  </si>
  <si>
    <t>Descripción del tipo de producto</t>
  </si>
  <si>
    <t>Detalles del tipo de producto</t>
  </si>
  <si>
    <t>Indica si el tipo de producto está disponible</t>
  </si>
  <si>
    <t>id_producto</t>
  </si>
  <si>
    <t>Identificador único del producto</t>
  </si>
  <si>
    <t>Usuario que publica el producto</t>
  </si>
  <si>
    <t>Relación con tabla usuario (Vendedor)</t>
  </si>
  <si>
    <t>Tipo al que pertenece el producto</t>
  </si>
  <si>
    <t>Relación con tabla tipo_producto</t>
  </si>
  <si>
    <t>nombre_producto</t>
  </si>
  <si>
    <t>Nombre del producto</t>
  </si>
  <si>
    <t>Nombre comercial del artículo</t>
  </si>
  <si>
    <t>Información detallada del producto</t>
  </si>
  <si>
    <t>Especificaciones y estado del objeto</t>
  </si>
  <si>
    <t>Valor del producto</t>
  </si>
  <si>
    <t>Precio de venta en COP</t>
  </si>
  <si>
    <t>Estado de disponibilidad o venta del producto</t>
  </si>
  <si>
    <t>Ejemplo: 'DISPONIBLE', 'VENDIDO'</t>
  </si>
  <si>
    <t>id_tipo_evento</t>
  </si>
  <si>
    <t>Identificador único del tipo de evento</t>
  </si>
  <si>
    <t>nombre_tipo_evento</t>
  </si>
  <si>
    <t>Nombre de la categoría del evento</t>
  </si>
  <si>
    <t xml:space="preserve">Académico, Cultural, Deportivo, etc.
</t>
  </si>
  <si>
    <t>Descripción del tipo de evento</t>
  </si>
  <si>
    <t>Detalles de la categoría de evento</t>
  </si>
  <si>
    <t>Indica si el tipo de evento está disponible</t>
  </si>
  <si>
    <t>id_evento</t>
  </si>
  <si>
    <r>
      <rPr>
        <rFont val="Calibri"/>
        <color theme="1"/>
        <sz val="10.0"/>
      </rPr>
      <t xml:space="preserve">Identificador único del evento
</t>
    </r>
    <r>
      <rPr>
        <rFont val="Calibri"/>
        <color theme="1"/>
        <sz val="12.0"/>
      </rPr>
      <t xml:space="preserve">
</t>
    </r>
  </si>
  <si>
    <t>Usuario que organiza o publica el evento</t>
  </si>
  <si>
    <t>Relación con tabla usuario (Organizador)</t>
  </si>
  <si>
    <t>Tipo al que pertenece el evento</t>
  </si>
  <si>
    <t>Relación con tipo evento</t>
  </si>
  <si>
    <t>nombre_evento</t>
  </si>
  <si>
    <t>Nombre del evento</t>
  </si>
  <si>
    <t>Título público del evento</t>
  </si>
  <si>
    <t>Información detallada del evento</t>
  </si>
  <si>
    <t>Agenda o detalles de la actividad</t>
  </si>
  <si>
    <t>fecha_hora</t>
  </si>
  <si>
    <t>Fecha y hora de realización del evento</t>
  </si>
  <si>
    <t>Programación del evento</t>
  </si>
  <si>
    <t>ubicacion</t>
  </si>
  <si>
    <t>Lugar donde se realiza el evento</t>
  </si>
  <si>
    <t>Auditorio, aula o enlace virtual</t>
  </si>
  <si>
    <t>id_seguimiento</t>
  </si>
  <si>
    <t>Identificador único del seguimiento</t>
  </si>
  <si>
    <t>id_usuario_seguidor</t>
  </si>
  <si>
    <t>Usuario que realiza el seguimiento</t>
  </si>
  <si>
    <t>FK a usuario (quien sigue)</t>
  </si>
  <si>
    <t>id_usuario_seguido</t>
  </si>
  <si>
    <t>Usuario que recibe el seguimiento</t>
  </si>
  <si>
    <t>4bytes</t>
  </si>
  <si>
    <t>FK a usuario (a quien siguen)</t>
  </si>
  <si>
    <t>fecha_seguimiento</t>
  </si>
  <si>
    <t>Fecha en que se realiza el seguimiento</t>
  </si>
  <si>
    <t>id_reaccion</t>
  </si>
  <si>
    <t>Identificador único de la reacción</t>
  </si>
  <si>
    <t>Usuario que realiza la reacción</t>
  </si>
  <si>
    <t>Publicación que recibe la reacción</t>
  </si>
  <si>
    <t>tipo_reaccion</t>
  </si>
  <si>
    <t>Tipo de reacción realizada</t>
  </si>
  <si>
    <t>Ejemplo: 'ME_GUSTA', 'ME_ENCANTA'</t>
  </si>
  <si>
    <t>fecha_reaccion</t>
  </si>
  <si>
    <t>Fecha y hora de la reacción</t>
  </si>
  <si>
    <t>id_compra</t>
  </si>
  <si>
    <t>Identificador único de la compra</t>
  </si>
  <si>
    <t>producto adquirido mediante la compra</t>
  </si>
  <si>
    <t>Relación con tabla producto</t>
  </si>
  <si>
    <t>id_usuario_comprador</t>
  </si>
  <si>
    <t>Usuario que realiza la compra</t>
  </si>
  <si>
    <t>Relación con tabla usuario (Comprador)</t>
  </si>
  <si>
    <t>fecha_compra</t>
  </si>
  <si>
    <t>Fecha y hora en que se realiza la compra</t>
  </si>
  <si>
    <t>cantidad</t>
  </si>
  <si>
    <t>Cantidad de productos adquiridos</t>
  </si>
  <si>
    <t>Unidades compradas (mínimo 1)</t>
  </si>
  <si>
    <t>valor_total</t>
  </si>
  <si>
    <t>Valor total de la compra</t>
  </si>
  <si>
    <t>Precio multiplicado por cantidad</t>
  </si>
  <si>
    <t>Estado actual de la compra</t>
  </si>
  <si>
    <t>Ejemplo: 'COMPLETADO', 'PENDIENTE'</t>
  </si>
  <si>
    <t>id_membresia</t>
  </si>
  <si>
    <t>Identificador único de la membresía del usuario en un grupo</t>
  </si>
  <si>
    <t>Identificador del usuario que pertenece al grupo</t>
  </si>
  <si>
    <t>Identificador del grupo al que pertenece el usuario</t>
  </si>
  <si>
    <t>Relación con tabla grupo</t>
  </si>
  <si>
    <t>Indica el estado actual de la membresía (activa, pendiente, inactiva)</t>
  </si>
  <si>
    <t>Estado de pertenencia al grupo</t>
  </si>
  <si>
    <t>id_solicitud</t>
  </si>
  <si>
    <t>Identificador único de la solicitud</t>
  </si>
  <si>
    <t>s</t>
  </si>
  <si>
    <t xml:space="preserve"> Llave primaria autoincremental</t>
  </si>
  <si>
    <t>Usuario que solicita el servicio</t>
  </si>
  <si>
    <t>Relación con tabla usuario (Solicitante)</t>
  </si>
  <si>
    <t>id_serviciio</t>
  </si>
  <si>
    <t>Servicio solicitado</t>
  </si>
  <si>
    <t>4  bytes</t>
  </si>
  <si>
    <t>Relación con tabla servicio</t>
  </si>
  <si>
    <t>fecha_solicitud</t>
  </si>
  <si>
    <t>Fecha y hora en que se realiza la solicitud</t>
  </si>
  <si>
    <t>descripcion_solicitud</t>
  </si>
  <si>
    <t>Información adicional proporcionada por el solicitante</t>
  </si>
  <si>
    <t>Detalles del requerimiento</t>
  </si>
  <si>
    <t>Estado actual de la solicitud</t>
  </si>
  <si>
    <t>Ejemplo: 'PENDIENTE', 'ACEPTADA'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</si>
</sst>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0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</font>
    <font>
      <b/>
      <sz val="12.0"/>
      <color rgb="FFFFFFFF"/>
      <name val="Calibri"/>
    </font>
    <font>
      <color theme="1"/>
      <name val="Arial"/>
      <scheme val="minor"/>
    </font>
    <font>
      <b/>
      <sz val="18.0"/>
      <color rgb="FFFFFFFF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/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4.0"/>
      <color rgb="FFFFFFFF"/>
      <name val="Calibri"/>
    </font>
    <font>
      <b/>
      <sz val="12.0"/>
      <color rgb="FF0000FF"/>
      <name val="Calibri"/>
    </font>
    <font>
      <sz val="11.0"/>
      <color rgb="FF000000"/>
      <name val="Arial"/>
    </font>
    <font>
      <sz val="9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sz val="7.0"/>
      <color theme="1"/>
      <name val="Calibri"/>
    </font>
    <font>
      <sz val="6.0"/>
      <color theme="1"/>
      <name val="Calibri"/>
    </font>
    <font>
      <sz val="12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b/>
      <sz val="10.0"/>
      <color rgb="FF000000"/>
      <name val="Arial"/>
    </font>
    <font>
      <sz val="5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center"/>
    </xf>
    <xf borderId="0" fillId="0" fontId="4" numFmtId="0" xfId="0" applyFont="1"/>
    <xf borderId="0" fillId="5" fontId="5" numFmtId="0" xfId="0" applyAlignment="1" applyFill="1" applyFont="1">
      <alignment horizontal="center" vertical="center"/>
    </xf>
    <xf borderId="1" fillId="4" fontId="6" numFmtId="0" xfId="0" applyAlignment="1" applyBorder="1" applyFill="1" applyFont="1">
      <alignment horizontal="center" shrinkToFit="0" wrapText="1"/>
    </xf>
    <xf borderId="2" fillId="4" fontId="6" numFmtId="0" xfId="0" applyAlignment="1" applyBorder="1" applyFill="1" applyFont="1">
      <alignment horizontal="center" shrinkToFit="0" wrapText="1"/>
    </xf>
    <xf borderId="3" fillId="4" fontId="7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4" fontId="7" numFmtId="0" xfId="0" applyAlignment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shrinkToFit="0" wrapText="1"/>
    </xf>
    <xf borderId="5" fillId="0" fontId="10" numFmtId="0" xfId="0" applyBorder="1" applyFont="1"/>
    <xf borderId="3" fillId="0" fontId="1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readingOrder="0"/>
    </xf>
    <xf borderId="3" fillId="0" fontId="11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/>
    </xf>
    <xf borderId="3" fillId="0" fontId="12" numFmtId="0" xfId="0" applyAlignment="1" applyBorder="1" applyFont="1">
      <alignment readingOrder="0"/>
    </xf>
    <xf borderId="6" fillId="4" fontId="7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1" numFmtId="0" xfId="0" applyAlignment="1" applyBorder="1" applyFont="1">
      <alignment horizontal="left" readingOrder="0" shrinkToFit="0" vertical="center" wrapText="1"/>
    </xf>
    <xf borderId="12" fillId="0" fontId="13" numFmtId="0" xfId="0" applyBorder="1" applyFont="1"/>
    <xf borderId="13" fillId="0" fontId="13" numFmtId="0" xfId="0" applyBorder="1" applyFont="1"/>
    <xf borderId="11" fillId="0" fontId="14" numFmtId="0" xfId="0" applyAlignment="1" applyBorder="1" applyFont="1">
      <alignment horizontal="left" readingOrder="0" vertical="center"/>
    </xf>
    <xf borderId="11" fillId="0" fontId="11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readingOrder="0"/>
    </xf>
    <xf borderId="12" fillId="0" fontId="14" numFmtId="0" xfId="0" applyAlignment="1" applyBorder="1" applyFont="1">
      <alignment horizontal="left" vertical="center"/>
    </xf>
    <xf borderId="13" fillId="0" fontId="14" numFmtId="0" xfId="0" applyAlignment="1" applyBorder="1" applyFont="1">
      <alignment horizontal="left" vertical="center"/>
    </xf>
    <xf borderId="0" fillId="3" fontId="16" numFmtId="0" xfId="0" applyAlignment="1" applyFill="1" applyFont="1">
      <alignment horizontal="center" vertical="center"/>
    </xf>
    <xf borderId="3" fillId="6" fontId="17" numFmtId="0" xfId="0" applyAlignment="1" applyBorder="1" applyFill="1" applyFont="1">
      <alignment horizontal="center" shrinkToFit="0" vertical="center" wrapText="1"/>
    </xf>
    <xf borderId="11" fillId="7" fontId="7" numFmtId="0" xfId="0" applyAlignment="1" applyBorder="1" applyFill="1" applyFont="1">
      <alignment horizontal="center" readingOrder="0" shrinkToFit="0" vertical="center" wrapText="1"/>
    </xf>
    <xf borderId="11" fillId="5" fontId="11" numFmtId="0" xfId="0" applyAlignment="1" applyBorder="1" applyFill="1" applyFont="1">
      <alignment horizontal="center" readingOrder="0" shrinkToFit="0" vertical="center" wrapText="1"/>
    </xf>
    <xf borderId="11" fillId="7" fontId="7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5" fontId="11" numFmtId="164" xfId="0" applyAlignment="1" applyBorder="1" applyFill="1" applyFont="1" applyNumberFormat="1">
      <alignment horizontal="center" readingOrder="0" shrinkToFit="0" vertical="center" wrapText="1"/>
    </xf>
    <xf borderId="3" fillId="5" fontId="12" numFmtId="0" xfId="0" applyAlignment="1" applyBorder="1" applyFill="1" applyFont="1">
      <alignment horizontal="left" readingOrder="0" shrinkToFit="0" vertical="center" wrapText="1"/>
    </xf>
    <xf borderId="11" fillId="5" fontId="12" numFmtId="0" xfId="0" applyAlignment="1" applyBorder="1" applyFill="1" applyFont="1">
      <alignment horizontal="left" readingOrder="0" shrinkToFit="0" vertical="center" wrapText="1"/>
    </xf>
    <xf borderId="11" fillId="5" fontId="12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readingOrder="0"/>
    </xf>
    <xf borderId="3" fillId="5" fontId="11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11" fillId="5" fontId="11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3" fillId="5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3" fillId="6" fontId="17" numFmtId="0" xfId="0" applyAlignment="1" applyBorder="1" applyFill="1" applyFont="1">
      <alignment horizontal="center" readingOrder="0" shrinkToFit="0" vertical="center" wrapText="1"/>
    </xf>
    <xf borderId="11" fillId="5" fontId="19" numFmtId="0" xfId="0" applyAlignment="1" applyBorder="1" applyFill="1" applyFont="1">
      <alignment horizontal="left" readingOrder="0" shrinkToFit="0" vertical="center" wrapText="1"/>
    </xf>
    <xf borderId="11" fillId="5" fontId="20" numFmtId="0" xfId="0" applyAlignment="1" applyBorder="1" applyFill="1" applyFont="1">
      <alignment horizontal="left" readingOrder="0" shrinkToFit="0" vertical="center" wrapText="1"/>
    </xf>
    <xf borderId="11" fillId="5" fontId="21" numFmtId="0" xfId="0" applyAlignment="1" applyBorder="1" applyFill="1" applyFont="1">
      <alignment horizontal="left" readingOrder="0" shrinkToFit="0" vertical="center" wrapText="1"/>
    </xf>
    <xf borderId="13" fillId="5" fontId="12" numFmtId="0" xfId="0" applyAlignment="1" applyBorder="1" applyFill="1" applyFont="1">
      <alignment horizontal="left" shrinkToFit="0" vertical="center" wrapText="1"/>
    </xf>
    <xf borderId="11" fillId="5" fontId="22" numFmtId="0" xfId="0" applyAlignment="1" applyBorder="1" applyFill="1" applyFont="1">
      <alignment horizontal="left" readingOrder="0" shrinkToFit="0" vertical="center" wrapText="1"/>
    </xf>
    <xf borderId="11" fillId="5" fontId="23" numFmtId="0" xfId="0" applyAlignment="1" applyBorder="1" applyFill="1" applyFont="1">
      <alignment horizontal="left" readingOrder="0" shrinkToFit="0" vertical="center" wrapText="1"/>
    </xf>
    <xf borderId="11" fillId="5" fontId="24" numFmtId="0" xfId="0" applyAlignment="1" applyBorder="1" applyFill="1" applyFont="1">
      <alignment horizontal="left" readingOrder="0" shrinkToFit="0" vertical="center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12" fillId="5" fontId="12" numFmtId="0" xfId="0" applyAlignment="1" applyBorder="1" applyFill="1" applyFont="1">
      <alignment horizontal="left" shrinkToFit="0" vertical="center" wrapText="1"/>
    </xf>
    <xf borderId="0" fillId="0" fontId="27" numFmtId="0" xfId="0" applyAlignment="1" applyFont="1">
      <alignment readingOrder="0"/>
    </xf>
    <xf borderId="3" fillId="5" fontId="20" numFmtId="0" xfId="0" applyAlignment="1" applyBorder="1" applyFill="1" applyFont="1">
      <alignment horizontal="left" readingOrder="0" shrinkToFit="0" vertical="center" wrapText="1"/>
    </xf>
    <xf borderId="0" fillId="0" fontId="28" numFmtId="0" xfId="0" applyAlignment="1" applyFont="1">
      <alignment readingOrder="0"/>
    </xf>
    <xf borderId="3" fillId="5" fontId="21" numFmtId="0" xfId="0" applyAlignment="1" applyBorder="1" applyFill="1" applyFont="1">
      <alignment horizontal="left" readingOrder="0" shrinkToFit="0" vertical="center" wrapText="1"/>
    </xf>
    <xf borderId="11" fillId="5" fontId="29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0" cy="6381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2.63"/>
  </cols>
  <sheetData>
    <row r="1" ht="502.5" customHeight="1">
      <c r="A1" s="4"/>
    </row>
    <row r="24">
      <c r="K24" s="10"/>
    </row>
    <row r="25">
      <c r="K25" s="10"/>
    </row>
    <row r="26">
      <c r="K26" s="10"/>
    </row>
    <row r="27">
      <c r="K27" s="10"/>
    </row>
    <row r="28">
      <c r="K28" s="10"/>
    </row>
    <row r="29">
      <c r="K29" s="10"/>
    </row>
    <row r="30">
      <c r="K30" s="10"/>
    </row>
    <row r="31">
      <c r="K31" s="10"/>
    </row>
    <row r="32">
      <c r="K32" s="10"/>
    </row>
    <row r="33">
      <c r="K33" s="10"/>
    </row>
    <row r="34">
      <c r="K3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39.38"/>
  </cols>
  <sheetData>
    <row r="1" ht="34.5" customHeight="1">
      <c r="A1" s="1" t="s">
        <v>0</v>
      </c>
      <c r="E1" s="2"/>
    </row>
    <row r="2" ht="21.0" customHeight="1">
      <c r="A2" s="6" t="s">
        <v>2</v>
      </c>
      <c r="B2" s="7" t="s">
        <v>3</v>
      </c>
      <c r="C2" s="7" t="s">
        <v>4</v>
      </c>
      <c r="D2" s="9" t="s">
        <v>5</v>
      </c>
      <c r="E2" s="2"/>
    </row>
    <row r="3" ht="15.75" customHeight="1">
      <c r="A3" s="12">
        <v>1.0</v>
      </c>
      <c r="B3" s="13" t="s">
        <v>9</v>
      </c>
      <c r="C3" s="14" t="s">
        <v>11</v>
      </c>
      <c r="D3" s="13" t="s">
        <v>12</v>
      </c>
      <c r="E3" s="2"/>
    </row>
    <row r="4" ht="15.75" customHeight="1">
      <c r="A4" s="12">
        <f t="shared" ref="A4:A20" si="1">A3+1</f>
        <v>2</v>
      </c>
      <c r="B4" s="13" t="s">
        <v>18</v>
      </c>
      <c r="C4" s="14" t="s">
        <v>19</v>
      </c>
      <c r="D4" s="13" t="s">
        <v>20</v>
      </c>
      <c r="E4" s="2"/>
    </row>
    <row r="5" ht="15.75" customHeight="1">
      <c r="A5" s="12">
        <f t="shared" si="1"/>
        <v>3</v>
      </c>
      <c r="B5" s="13" t="s">
        <v>21</v>
      </c>
      <c r="C5" s="14" t="s">
        <v>22</v>
      </c>
      <c r="D5" s="13" t="s">
        <v>23</v>
      </c>
      <c r="E5" s="2"/>
    </row>
    <row r="6" ht="15.75" customHeight="1">
      <c r="A6" s="12">
        <f t="shared" si="1"/>
        <v>4</v>
      </c>
      <c r="B6" s="13" t="s">
        <v>24</v>
      </c>
      <c r="C6" s="14" t="s">
        <v>25</v>
      </c>
      <c r="D6" s="13" t="s">
        <v>26</v>
      </c>
      <c r="E6" s="2"/>
    </row>
    <row r="7" ht="15.75" customHeight="1">
      <c r="A7" s="12">
        <f t="shared" si="1"/>
        <v>5</v>
      </c>
      <c r="B7" s="13" t="s">
        <v>27</v>
      </c>
      <c r="C7" s="14" t="s">
        <v>28</v>
      </c>
      <c r="D7" s="13" t="s">
        <v>29</v>
      </c>
      <c r="E7" s="2"/>
    </row>
    <row r="8" ht="15.75" customHeight="1">
      <c r="A8" s="12">
        <f t="shared" si="1"/>
        <v>6</v>
      </c>
      <c r="B8" s="13" t="s">
        <v>30</v>
      </c>
      <c r="C8" s="14" t="s">
        <v>32</v>
      </c>
      <c r="D8" s="13" t="s">
        <v>33</v>
      </c>
      <c r="E8" s="2"/>
    </row>
    <row r="9" ht="15.75" customHeight="1">
      <c r="A9" s="12">
        <f t="shared" si="1"/>
        <v>7</v>
      </c>
      <c r="B9" s="13" t="s">
        <v>37</v>
      </c>
      <c r="C9" s="14" t="s">
        <v>38</v>
      </c>
      <c r="D9" s="13" t="s">
        <v>39</v>
      </c>
      <c r="E9" s="2"/>
    </row>
    <row r="10" ht="15.75" customHeight="1">
      <c r="A10" s="12">
        <f t="shared" si="1"/>
        <v>8</v>
      </c>
      <c r="B10" s="13" t="s">
        <v>42</v>
      </c>
      <c r="C10" s="14" t="s">
        <v>44</v>
      </c>
      <c r="D10" s="13" t="s">
        <v>46</v>
      </c>
      <c r="E10" s="2"/>
    </row>
    <row r="11" ht="15.75" customHeight="1">
      <c r="A11" s="12">
        <f t="shared" si="1"/>
        <v>9</v>
      </c>
      <c r="B11" s="13" t="s">
        <v>49</v>
      </c>
      <c r="C11" s="14" t="s">
        <v>51</v>
      </c>
      <c r="D11" s="13" t="s">
        <v>53</v>
      </c>
      <c r="E11" s="2"/>
    </row>
    <row r="12" ht="15.75" customHeight="1">
      <c r="A12" s="12">
        <f t="shared" si="1"/>
        <v>10</v>
      </c>
      <c r="B12" s="13" t="s">
        <v>56</v>
      </c>
      <c r="C12" s="14" t="s">
        <v>58</v>
      </c>
      <c r="D12" s="13" t="s">
        <v>46</v>
      </c>
      <c r="E12" s="2"/>
    </row>
    <row r="13" ht="15.75" customHeight="1">
      <c r="A13" s="12">
        <f t="shared" si="1"/>
        <v>11</v>
      </c>
      <c r="B13" s="13" t="s">
        <v>63</v>
      </c>
      <c r="C13" s="14" t="s">
        <v>64</v>
      </c>
      <c r="D13" s="13" t="s">
        <v>66</v>
      </c>
      <c r="E13" s="2"/>
    </row>
    <row r="14" ht="15.75" customHeight="1">
      <c r="A14" s="12">
        <f t="shared" si="1"/>
        <v>12</v>
      </c>
      <c r="B14" s="13" t="s">
        <v>71</v>
      </c>
      <c r="C14" s="14" t="s">
        <v>72</v>
      </c>
      <c r="D14" s="13" t="s">
        <v>46</v>
      </c>
      <c r="E14" s="2"/>
    </row>
    <row r="15" ht="15.75" customHeight="1">
      <c r="A15" s="12">
        <f t="shared" si="1"/>
        <v>13</v>
      </c>
      <c r="B15" s="13" t="s">
        <v>78</v>
      </c>
      <c r="C15" s="14" t="s">
        <v>79</v>
      </c>
      <c r="D15" s="13" t="s">
        <v>80</v>
      </c>
      <c r="E15" s="2"/>
    </row>
    <row r="16" ht="15.75" customHeight="1">
      <c r="A16" s="12">
        <f t="shared" si="1"/>
        <v>14</v>
      </c>
      <c r="B16" s="13" t="s">
        <v>85</v>
      </c>
      <c r="C16" s="14" t="s">
        <v>86</v>
      </c>
      <c r="D16" s="13" t="s">
        <v>87</v>
      </c>
      <c r="E16" s="2"/>
    </row>
    <row r="17" ht="15.75" customHeight="1">
      <c r="A17" s="12">
        <f t="shared" si="1"/>
        <v>15</v>
      </c>
      <c r="B17" s="13" t="s">
        <v>93</v>
      </c>
      <c r="C17" s="14" t="s">
        <v>94</v>
      </c>
      <c r="D17" s="13" t="s">
        <v>95</v>
      </c>
      <c r="E17" s="2"/>
    </row>
    <row r="18" ht="15.75" customHeight="1">
      <c r="A18" s="12">
        <f t="shared" si="1"/>
        <v>16</v>
      </c>
      <c r="B18" s="13" t="s">
        <v>99</v>
      </c>
      <c r="C18" s="14" t="s">
        <v>100</v>
      </c>
      <c r="D18" s="13" t="s">
        <v>102</v>
      </c>
      <c r="E18" s="2"/>
    </row>
    <row r="19" ht="15.75" customHeight="1">
      <c r="A19" s="12">
        <f t="shared" si="1"/>
        <v>17</v>
      </c>
      <c r="B19" s="13" t="s">
        <v>104</v>
      </c>
      <c r="C19" s="14" t="s">
        <v>105</v>
      </c>
      <c r="D19" s="13" t="s">
        <v>107</v>
      </c>
      <c r="E19" s="2"/>
    </row>
    <row r="20" ht="15.75" customHeight="1">
      <c r="A20" s="12">
        <f t="shared" si="1"/>
        <v>18</v>
      </c>
      <c r="B20" s="13" t="s">
        <v>110</v>
      </c>
      <c r="C20" s="14" t="s">
        <v>111</v>
      </c>
      <c r="D20" s="13" t="s">
        <v>112</v>
      </c>
      <c r="E20" s="2"/>
    </row>
    <row r="21" ht="15.75" customHeight="1">
      <c r="A21" s="12">
        <v>19.0</v>
      </c>
      <c r="B21" s="13" t="s">
        <v>114</v>
      </c>
      <c r="C21" s="14" t="s">
        <v>115</v>
      </c>
      <c r="D21" s="13" t="s">
        <v>115</v>
      </c>
      <c r="E21" s="2"/>
    </row>
    <row r="22" ht="15.75" customHeight="1">
      <c r="A22" s="12">
        <v>20.0</v>
      </c>
      <c r="B22" s="13" t="s">
        <v>119</v>
      </c>
      <c r="C22" s="14" t="s">
        <v>120</v>
      </c>
      <c r="D22" s="13" t="s">
        <v>120</v>
      </c>
      <c r="E22" s="2"/>
    </row>
    <row r="23" ht="15.75" customHeight="1">
      <c r="A23" s="12">
        <v>21.0</v>
      </c>
      <c r="B23" s="13" t="s">
        <v>134</v>
      </c>
      <c r="C23" s="14" t="s">
        <v>136</v>
      </c>
      <c r="D23" s="13" t="s">
        <v>136</v>
      </c>
      <c r="E23" s="2"/>
    </row>
    <row r="24" ht="15.75" customHeight="1">
      <c r="A24" s="12">
        <v>22.0</v>
      </c>
      <c r="B24" s="13" t="s">
        <v>138</v>
      </c>
      <c r="C24" s="14" t="s">
        <v>140</v>
      </c>
      <c r="D24" s="13" t="s">
        <v>140</v>
      </c>
      <c r="E24" s="2"/>
    </row>
    <row r="25" ht="15.75" customHeight="1">
      <c r="A25" s="12">
        <v>23.0</v>
      </c>
      <c r="B25" s="13" t="s">
        <v>142</v>
      </c>
      <c r="C25" s="14" t="s">
        <v>143</v>
      </c>
      <c r="D25" s="13" t="s">
        <v>143</v>
      </c>
      <c r="E25" s="2"/>
    </row>
    <row r="26" ht="15.75" customHeight="1">
      <c r="A26" s="12">
        <v>24.0</v>
      </c>
      <c r="B26" s="13" t="s">
        <v>144</v>
      </c>
      <c r="C26" s="14" t="s">
        <v>145</v>
      </c>
      <c r="D26" s="13" t="s">
        <v>145</v>
      </c>
      <c r="E26" s="2"/>
    </row>
    <row r="27" ht="15.75" customHeight="1">
      <c r="A27" s="12">
        <v>25.0</v>
      </c>
      <c r="B27" s="13" t="s">
        <v>146</v>
      </c>
      <c r="C27" s="14" t="s">
        <v>147</v>
      </c>
      <c r="D27" s="13" t="s">
        <v>147</v>
      </c>
      <c r="E27" s="2"/>
    </row>
    <row r="28" ht="15.75" customHeight="1">
      <c r="A28" s="12">
        <v>26.0</v>
      </c>
      <c r="B28" s="13" t="s">
        <v>148</v>
      </c>
      <c r="C28" s="14" t="s">
        <v>149</v>
      </c>
      <c r="D28" s="13" t="s">
        <v>149</v>
      </c>
      <c r="E28" s="2"/>
    </row>
    <row r="29" ht="15.75" customHeight="1">
      <c r="A29" s="12">
        <v>27.0</v>
      </c>
      <c r="B29" s="13" t="s">
        <v>150</v>
      </c>
      <c r="C29" s="14" t="s">
        <v>151</v>
      </c>
      <c r="D29" s="13" t="s">
        <v>151</v>
      </c>
      <c r="E29" s="2"/>
    </row>
    <row r="30" ht="15.75" customHeight="1">
      <c r="A30" s="12">
        <v>28.0</v>
      </c>
      <c r="B30" s="13" t="s">
        <v>152</v>
      </c>
      <c r="C30" s="14" t="s">
        <v>153</v>
      </c>
      <c r="D30" s="13" t="s">
        <v>153</v>
      </c>
      <c r="E30" s="2"/>
    </row>
    <row r="31" ht="15.75" customHeight="1">
      <c r="A31" s="12">
        <v>29.0</v>
      </c>
      <c r="B31" s="13" t="s">
        <v>154</v>
      </c>
      <c r="C31" s="14" t="s">
        <v>155</v>
      </c>
      <c r="D31" s="13" t="s">
        <v>155</v>
      </c>
      <c r="E31" s="2"/>
    </row>
    <row r="32" ht="15.75" customHeight="1">
      <c r="A32" s="12">
        <v>30.0</v>
      </c>
      <c r="B32" s="13" t="s">
        <v>156</v>
      </c>
      <c r="C32" s="14" t="s">
        <v>157</v>
      </c>
      <c r="D32" s="13" t="s">
        <v>157</v>
      </c>
      <c r="E32" s="2"/>
    </row>
    <row r="33" ht="15.75" customHeight="1">
      <c r="A33" s="12">
        <v>31.0</v>
      </c>
      <c r="B33" s="13" t="s">
        <v>158</v>
      </c>
      <c r="C33" s="14" t="s">
        <v>159</v>
      </c>
      <c r="D33" s="13" t="s">
        <v>159</v>
      </c>
      <c r="E33" s="2"/>
    </row>
    <row r="34" ht="15.75" customHeight="1">
      <c r="A34" s="12">
        <v>32.0</v>
      </c>
      <c r="B34" s="13" t="s">
        <v>160</v>
      </c>
      <c r="C34" s="14" t="s">
        <v>161</v>
      </c>
      <c r="D34" s="13" t="s">
        <v>161</v>
      </c>
      <c r="E34" s="2"/>
    </row>
    <row r="35" ht="15.75" customHeight="1">
      <c r="A35" s="12">
        <v>33.0</v>
      </c>
      <c r="B35" s="13" t="s">
        <v>162</v>
      </c>
      <c r="C35" s="14" t="s">
        <v>163</v>
      </c>
      <c r="D35" s="13" t="s">
        <v>163</v>
      </c>
      <c r="E35" s="2"/>
    </row>
    <row r="36" ht="15.75" customHeight="1">
      <c r="A36" s="12">
        <v>34.0</v>
      </c>
      <c r="B36" s="13" t="s">
        <v>164</v>
      </c>
      <c r="C36" s="14" t="s">
        <v>165</v>
      </c>
      <c r="D36" s="13" t="s">
        <v>165</v>
      </c>
      <c r="E36" s="2"/>
    </row>
    <row r="37" ht="15.75" customHeight="1">
      <c r="A37" s="12">
        <v>35.0</v>
      </c>
      <c r="B37" s="13" t="s">
        <v>166</v>
      </c>
      <c r="C37" s="14" t="s">
        <v>167</v>
      </c>
      <c r="D37" s="13" t="s">
        <v>167</v>
      </c>
      <c r="E37" s="2"/>
    </row>
    <row r="38" ht="15.75" customHeight="1">
      <c r="A38" s="12">
        <v>36.0</v>
      </c>
      <c r="B38" s="13" t="s">
        <v>168</v>
      </c>
      <c r="C38" s="14" t="s">
        <v>169</v>
      </c>
      <c r="D38" s="13" t="s">
        <v>169</v>
      </c>
      <c r="E38" s="2"/>
    </row>
    <row r="39" ht="15.75" customHeight="1">
      <c r="A39" s="12">
        <v>37.0</v>
      </c>
      <c r="B39" s="13" t="s">
        <v>170</v>
      </c>
      <c r="C39" s="14" t="s">
        <v>171</v>
      </c>
      <c r="D39" s="13" t="s">
        <v>171</v>
      </c>
      <c r="E39" s="2"/>
    </row>
    <row r="40" ht="15.75" customHeight="1">
      <c r="A40" s="12">
        <v>38.0</v>
      </c>
      <c r="B40" s="13" t="s">
        <v>172</v>
      </c>
      <c r="C40" s="14" t="s">
        <v>173</v>
      </c>
      <c r="D40" s="13" t="s">
        <v>173</v>
      </c>
      <c r="E40" s="2"/>
    </row>
    <row r="41" ht="15.75" customHeight="1">
      <c r="A41" s="12">
        <v>39.0</v>
      </c>
      <c r="B41" s="13" t="s">
        <v>174</v>
      </c>
      <c r="C41" s="14" t="s">
        <v>175</v>
      </c>
      <c r="D41" s="13" t="s">
        <v>175</v>
      </c>
      <c r="E41" s="2"/>
    </row>
    <row r="42" ht="15.75" customHeight="1">
      <c r="A42" s="12">
        <v>40.0</v>
      </c>
      <c r="B42" s="13" t="s">
        <v>176</v>
      </c>
      <c r="C42" s="14" t="s">
        <v>177</v>
      </c>
      <c r="D42" s="13" t="s">
        <v>177</v>
      </c>
      <c r="E42" s="2"/>
    </row>
    <row r="43" ht="15.75" customHeight="1">
      <c r="A43" s="12">
        <v>41.0</v>
      </c>
      <c r="B43" s="13" t="s">
        <v>178</v>
      </c>
      <c r="C43" s="14" t="s">
        <v>179</v>
      </c>
      <c r="D43" s="13" t="s">
        <v>179</v>
      </c>
      <c r="E43" s="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  <col customWidth="1" min="4" max="4" width="31.63"/>
    <col customWidth="1" min="5" max="5" width="27.75"/>
    <col customWidth="1" min="6" max="6" width="66.25"/>
  </cols>
  <sheetData>
    <row r="1" ht="28.5" customHeight="1">
      <c r="A1" s="3" t="s">
        <v>1</v>
      </c>
      <c r="G1" s="5"/>
      <c r="H1" s="5"/>
      <c r="I1" s="5"/>
      <c r="J1" s="5"/>
    </row>
    <row r="2" ht="36.0" customHeight="1">
      <c r="A2" s="8" t="s">
        <v>2</v>
      </c>
      <c r="B2" s="11" t="s">
        <v>6</v>
      </c>
      <c r="C2" s="8" t="s">
        <v>7</v>
      </c>
      <c r="D2" s="8" t="s">
        <v>8</v>
      </c>
      <c r="E2" s="8" t="s">
        <v>10</v>
      </c>
      <c r="F2" s="8" t="s">
        <v>5</v>
      </c>
    </row>
    <row r="3" ht="30.0" customHeight="1">
      <c r="A3" s="15">
        <v>1.0</v>
      </c>
      <c r="B3" s="16" t="s">
        <v>13</v>
      </c>
      <c r="C3" s="17" t="s">
        <v>14</v>
      </c>
      <c r="D3" s="18" t="s">
        <v>15</v>
      </c>
      <c r="E3" s="18" t="s">
        <v>16</v>
      </c>
      <c r="F3" s="18" t="s">
        <v>17</v>
      </c>
    </row>
    <row r="4" ht="30.0" customHeight="1">
      <c r="A4" s="15">
        <f t="shared" ref="A4:A18" si="1">A3+1</f>
        <v>2</v>
      </c>
      <c r="B4" s="16" t="s">
        <v>31</v>
      </c>
      <c r="C4" s="17" t="s">
        <v>31</v>
      </c>
      <c r="D4" s="18" t="s">
        <v>34</v>
      </c>
      <c r="E4" s="18" t="s">
        <v>35</v>
      </c>
      <c r="F4" s="18" t="s">
        <v>36</v>
      </c>
    </row>
    <row r="5" ht="30.0" customHeight="1">
      <c r="A5" s="15">
        <f t="shared" si="1"/>
        <v>3</v>
      </c>
      <c r="B5" s="16" t="s">
        <v>40</v>
      </c>
      <c r="C5" s="17" t="s">
        <v>41</v>
      </c>
      <c r="D5" s="18" t="s">
        <v>43</v>
      </c>
      <c r="E5" s="18" t="s">
        <v>45</v>
      </c>
      <c r="F5" s="18" t="s">
        <v>47</v>
      </c>
    </row>
    <row r="6" ht="30.0" customHeight="1">
      <c r="A6" s="15">
        <f t="shared" si="1"/>
        <v>4</v>
      </c>
      <c r="B6" s="16" t="s">
        <v>48</v>
      </c>
      <c r="C6" s="17" t="s">
        <v>50</v>
      </c>
      <c r="D6" s="18" t="s">
        <v>52</v>
      </c>
      <c r="E6" s="18" t="s">
        <v>54</v>
      </c>
      <c r="F6" s="18" t="s">
        <v>55</v>
      </c>
    </row>
    <row r="7" ht="30.0" customHeight="1">
      <c r="A7" s="15">
        <f t="shared" si="1"/>
        <v>5</v>
      </c>
      <c r="B7" s="16" t="s">
        <v>57</v>
      </c>
      <c r="C7" s="17" t="s">
        <v>59</v>
      </c>
      <c r="D7" s="18" t="s">
        <v>60</v>
      </c>
      <c r="E7" s="18" t="s">
        <v>61</v>
      </c>
      <c r="F7" s="18" t="s">
        <v>62</v>
      </c>
    </row>
    <row r="8" ht="30.0" customHeight="1">
      <c r="A8" s="15">
        <f t="shared" si="1"/>
        <v>6</v>
      </c>
      <c r="B8" s="16" t="s">
        <v>65</v>
      </c>
      <c r="C8" s="17" t="s">
        <v>67</v>
      </c>
      <c r="D8" s="18" t="s">
        <v>68</v>
      </c>
      <c r="E8" s="18" t="s">
        <v>69</v>
      </c>
      <c r="F8" s="18" t="s">
        <v>70</v>
      </c>
    </row>
    <row r="9" ht="30.0" customHeight="1">
      <c r="A9" s="15">
        <f t="shared" si="1"/>
        <v>7</v>
      </c>
      <c r="B9" s="16" t="s">
        <v>73</v>
      </c>
      <c r="C9" s="17" t="s">
        <v>74</v>
      </c>
      <c r="D9" s="18" t="s">
        <v>75</v>
      </c>
      <c r="E9" s="18" t="s">
        <v>76</v>
      </c>
      <c r="F9" s="18" t="s">
        <v>77</v>
      </c>
    </row>
    <row r="10" ht="30.0" customHeight="1">
      <c r="A10" s="15">
        <f t="shared" si="1"/>
        <v>8</v>
      </c>
      <c r="B10" s="16" t="s">
        <v>81</v>
      </c>
      <c r="C10" s="17" t="s">
        <v>82</v>
      </c>
      <c r="D10" s="18" t="s">
        <v>83</v>
      </c>
      <c r="E10" s="18" t="s">
        <v>45</v>
      </c>
      <c r="F10" s="18" t="s">
        <v>84</v>
      </c>
    </row>
    <row r="11" ht="30.0" customHeight="1">
      <c r="A11" s="15">
        <f t="shared" si="1"/>
        <v>9</v>
      </c>
      <c r="B11" s="16" t="s">
        <v>88</v>
      </c>
      <c r="C11" s="17" t="s">
        <v>89</v>
      </c>
      <c r="D11" s="18" t="s">
        <v>90</v>
      </c>
      <c r="E11" s="18" t="s">
        <v>91</v>
      </c>
      <c r="F11" s="18" t="s">
        <v>92</v>
      </c>
    </row>
    <row r="12" ht="30.0" customHeight="1">
      <c r="A12" s="15">
        <f t="shared" si="1"/>
        <v>10</v>
      </c>
      <c r="B12" s="16" t="s">
        <v>96</v>
      </c>
      <c r="C12" s="17" t="s">
        <v>97</v>
      </c>
      <c r="D12" s="18" t="s">
        <v>98</v>
      </c>
      <c r="E12" s="18" t="s">
        <v>69</v>
      </c>
      <c r="F12" s="18" t="s">
        <v>101</v>
      </c>
    </row>
    <row r="13" ht="30.0" customHeight="1">
      <c r="A13" s="15">
        <f t="shared" si="1"/>
        <v>11</v>
      </c>
      <c r="B13" s="16" t="s">
        <v>103</v>
      </c>
      <c r="C13" s="17" t="s">
        <v>97</v>
      </c>
      <c r="D13" s="18" t="s">
        <v>106</v>
      </c>
      <c r="E13" s="18" t="s">
        <v>69</v>
      </c>
      <c r="F13" s="18" t="s">
        <v>108</v>
      </c>
    </row>
    <row r="14" ht="30.0" customHeight="1">
      <c r="A14" s="15">
        <f t="shared" si="1"/>
        <v>12</v>
      </c>
      <c r="B14" s="16" t="s">
        <v>109</v>
      </c>
      <c r="C14" s="19" t="s">
        <v>113</v>
      </c>
      <c r="D14" s="18" t="s">
        <v>116</v>
      </c>
      <c r="E14" s="18" t="s">
        <v>117</v>
      </c>
      <c r="F14" s="18" t="s">
        <v>118</v>
      </c>
    </row>
    <row r="15" ht="30.0" customHeight="1">
      <c r="A15" s="15">
        <f t="shared" si="1"/>
        <v>13</v>
      </c>
      <c r="B15" s="16" t="s">
        <v>121</v>
      </c>
      <c r="C15" s="19" t="s">
        <v>122</v>
      </c>
      <c r="D15" s="18" t="s">
        <v>123</v>
      </c>
      <c r="E15" s="18" t="s">
        <v>124</v>
      </c>
      <c r="F15" s="18" t="s">
        <v>125</v>
      </c>
    </row>
    <row r="16" ht="30.0" customHeight="1">
      <c r="A16" s="15">
        <f t="shared" si="1"/>
        <v>14</v>
      </c>
      <c r="B16" s="16" t="s">
        <v>126</v>
      </c>
      <c r="C16" s="19" t="s">
        <v>113</v>
      </c>
      <c r="D16" s="20" t="s">
        <v>127</v>
      </c>
      <c r="E16" s="18" t="s">
        <v>128</v>
      </c>
      <c r="F16" s="18" t="s">
        <v>129</v>
      </c>
    </row>
    <row r="17" ht="30.0" customHeight="1">
      <c r="A17" s="15">
        <f t="shared" si="1"/>
        <v>15</v>
      </c>
      <c r="B17" s="16" t="s">
        <v>130</v>
      </c>
      <c r="C17" s="19" t="s">
        <v>97</v>
      </c>
      <c r="D17" s="18" t="s">
        <v>131</v>
      </c>
      <c r="E17" s="18" t="s">
        <v>132</v>
      </c>
      <c r="F17" s="18" t="s">
        <v>133</v>
      </c>
    </row>
    <row r="18" ht="27.75" customHeight="1">
      <c r="A18" s="15">
        <f t="shared" si="1"/>
        <v>16</v>
      </c>
      <c r="B18" s="16" t="s">
        <v>135</v>
      </c>
      <c r="C18" s="21" t="s">
        <v>137</v>
      </c>
      <c r="D18" s="18" t="s">
        <v>139</v>
      </c>
      <c r="E18" s="18" t="s">
        <v>132</v>
      </c>
      <c r="F18" s="18" t="s">
        <v>141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6.5"/>
    <col customWidth="1" min="3" max="3" width="13.38"/>
    <col customWidth="1" min="4" max="9" width="3.88"/>
    <col customWidth="1" min="10" max="10" width="5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25.5" customHeight="1">
      <c r="A1" s="3" t="s">
        <v>180</v>
      </c>
    </row>
    <row r="2" ht="30.75" customHeight="1">
      <c r="A2" s="3" t="s">
        <v>181</v>
      </c>
    </row>
    <row r="3" ht="25.5" customHeight="1">
      <c r="A3" s="22" t="s">
        <v>2</v>
      </c>
      <c r="B3" s="23" t="s">
        <v>3</v>
      </c>
      <c r="C3" s="24"/>
      <c r="D3" s="24"/>
      <c r="E3" s="25"/>
      <c r="F3" s="23" t="s">
        <v>4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23" t="s">
        <v>5</v>
      </c>
      <c r="Y3" s="26"/>
    </row>
    <row r="4" ht="30.0" customHeight="1">
      <c r="A4" s="15">
        <v>1.0</v>
      </c>
      <c r="B4" s="27" t="s">
        <v>182</v>
      </c>
      <c r="C4" s="28"/>
      <c r="D4" s="28"/>
      <c r="E4" s="29"/>
      <c r="F4" s="30" t="s">
        <v>183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27" t="s">
        <v>184</v>
      </c>
      <c r="Y4" s="29"/>
    </row>
    <row r="5" ht="30.0" customHeight="1">
      <c r="A5" s="15">
        <f t="shared" ref="A5:A21" si="1">A4+1</f>
        <v>2</v>
      </c>
      <c r="B5" s="27" t="s">
        <v>18</v>
      </c>
      <c r="C5" s="28"/>
      <c r="D5" s="28"/>
      <c r="E5" s="29"/>
      <c r="F5" s="30" t="s">
        <v>185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7" t="s">
        <v>186</v>
      </c>
      <c r="Y5" s="29"/>
    </row>
    <row r="6" ht="30.0" customHeight="1">
      <c r="A6" s="15">
        <f t="shared" si="1"/>
        <v>3</v>
      </c>
      <c r="B6" s="27" t="s">
        <v>187</v>
      </c>
      <c r="C6" s="28"/>
      <c r="D6" s="28"/>
      <c r="E6" s="29"/>
      <c r="F6" s="30" t="s">
        <v>188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9"/>
      <c r="X6" s="31"/>
      <c r="Y6" s="29"/>
    </row>
    <row r="7" ht="30.0" customHeight="1">
      <c r="A7" s="15">
        <f t="shared" si="1"/>
        <v>4</v>
      </c>
      <c r="B7" s="27" t="s">
        <v>24</v>
      </c>
      <c r="C7" s="28"/>
      <c r="D7" s="28"/>
      <c r="E7" s="29"/>
      <c r="F7" s="32" t="s">
        <v>189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4"/>
      <c r="X7" s="31"/>
      <c r="Y7" s="29"/>
    </row>
    <row r="8" ht="30.0" customHeight="1">
      <c r="A8" s="15">
        <f t="shared" si="1"/>
        <v>5</v>
      </c>
      <c r="B8" s="27" t="s">
        <v>27</v>
      </c>
      <c r="C8" s="28"/>
      <c r="D8" s="28"/>
      <c r="E8" s="29"/>
      <c r="F8" s="30" t="s">
        <v>190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31"/>
      <c r="Y8" s="29"/>
    </row>
    <row r="9" ht="30.0" customHeight="1">
      <c r="A9" s="15">
        <f t="shared" si="1"/>
        <v>6</v>
      </c>
      <c r="B9" s="27" t="s">
        <v>30</v>
      </c>
      <c r="C9" s="28"/>
      <c r="D9" s="28"/>
      <c r="E9" s="29"/>
      <c r="F9" s="30" t="s">
        <v>191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9"/>
      <c r="X9" s="31"/>
      <c r="Y9" s="29"/>
    </row>
    <row r="10" ht="30.0" customHeight="1">
      <c r="A10" s="15">
        <f t="shared" si="1"/>
        <v>7</v>
      </c>
      <c r="B10" s="27" t="s">
        <v>37</v>
      </c>
      <c r="C10" s="28"/>
      <c r="D10" s="28"/>
      <c r="E10" s="29"/>
      <c r="F10" s="30" t="s">
        <v>192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9"/>
      <c r="X10" s="31"/>
      <c r="Y10" s="29"/>
    </row>
    <row r="11" ht="30.0" customHeight="1">
      <c r="A11" s="15">
        <f t="shared" si="1"/>
        <v>8</v>
      </c>
      <c r="B11" s="27" t="s">
        <v>42</v>
      </c>
      <c r="C11" s="28"/>
      <c r="D11" s="28"/>
      <c r="E11" s="29"/>
      <c r="F11" s="30" t="s">
        <v>193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31"/>
      <c r="Y11" s="29"/>
    </row>
    <row r="12" ht="30.0" customHeight="1">
      <c r="A12" s="15">
        <f t="shared" si="1"/>
        <v>9</v>
      </c>
      <c r="B12" s="27" t="s">
        <v>49</v>
      </c>
      <c r="C12" s="28"/>
      <c r="D12" s="28"/>
      <c r="E12" s="29"/>
      <c r="F12" s="30" t="s">
        <v>194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9"/>
      <c r="X12" s="31"/>
      <c r="Y12" s="29"/>
    </row>
    <row r="13" ht="30.0" customHeight="1">
      <c r="A13" s="15">
        <f t="shared" si="1"/>
        <v>10</v>
      </c>
      <c r="B13" s="27" t="s">
        <v>56</v>
      </c>
      <c r="C13" s="28"/>
      <c r="D13" s="28"/>
      <c r="E13" s="29"/>
      <c r="F13" s="30" t="s">
        <v>195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31"/>
      <c r="Y13" s="29"/>
    </row>
    <row r="14" ht="30.0" customHeight="1">
      <c r="A14" s="15">
        <f t="shared" si="1"/>
        <v>11</v>
      </c>
      <c r="B14" s="27" t="s">
        <v>63</v>
      </c>
      <c r="C14" s="28"/>
      <c r="D14" s="28"/>
      <c r="E14" s="29"/>
      <c r="F14" s="32" t="s">
        <v>196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1"/>
      <c r="Y14" s="29"/>
    </row>
    <row r="15" ht="30.0" customHeight="1">
      <c r="A15" s="15">
        <f t="shared" si="1"/>
        <v>12</v>
      </c>
      <c r="B15" s="27" t="s">
        <v>71</v>
      </c>
      <c r="C15" s="28"/>
      <c r="D15" s="28"/>
      <c r="E15" s="29"/>
      <c r="F15" s="32" t="s">
        <v>197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4"/>
      <c r="X15" s="31"/>
      <c r="Y15" s="29"/>
    </row>
    <row r="16" ht="30.0" customHeight="1">
      <c r="A16" s="15">
        <f t="shared" si="1"/>
        <v>13</v>
      </c>
      <c r="B16" s="27" t="s">
        <v>78</v>
      </c>
      <c r="C16" s="28"/>
      <c r="D16" s="28"/>
      <c r="E16" s="29"/>
      <c r="F16" s="32" t="s">
        <v>198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1"/>
      <c r="Y16" s="29"/>
    </row>
    <row r="17" ht="30.0" customHeight="1">
      <c r="A17" s="15">
        <f t="shared" si="1"/>
        <v>14</v>
      </c>
      <c r="B17" s="27" t="s">
        <v>85</v>
      </c>
      <c r="C17" s="28"/>
      <c r="D17" s="28"/>
      <c r="E17" s="29"/>
      <c r="F17" s="30" t="s">
        <v>199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9"/>
      <c r="X17" s="31"/>
      <c r="Y17" s="29"/>
    </row>
    <row r="18" ht="30.0" customHeight="1">
      <c r="A18" s="15">
        <f t="shared" si="1"/>
        <v>15</v>
      </c>
      <c r="B18" s="27" t="s">
        <v>93</v>
      </c>
      <c r="C18" s="28"/>
      <c r="D18" s="28"/>
      <c r="E18" s="29"/>
      <c r="F18" s="30" t="s">
        <v>200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9"/>
      <c r="X18" s="31"/>
      <c r="Y18" s="29"/>
    </row>
    <row r="19" ht="30.0" customHeight="1">
      <c r="A19" s="15">
        <f t="shared" si="1"/>
        <v>16</v>
      </c>
      <c r="B19" s="27" t="s">
        <v>99</v>
      </c>
      <c r="C19" s="28"/>
      <c r="D19" s="28"/>
      <c r="E19" s="29"/>
      <c r="F19" s="30" t="s">
        <v>201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9"/>
      <c r="X19" s="31"/>
      <c r="Y19" s="29"/>
    </row>
    <row r="20" ht="30.0" customHeight="1">
      <c r="A20" s="15">
        <f t="shared" si="1"/>
        <v>17</v>
      </c>
      <c r="B20" s="27" t="s">
        <v>104</v>
      </c>
      <c r="C20" s="28"/>
      <c r="D20" s="28"/>
      <c r="E20" s="29"/>
      <c r="F20" s="30" t="s">
        <v>202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9"/>
      <c r="X20" s="31"/>
      <c r="Y20" s="29"/>
    </row>
    <row r="21" ht="30.0" customHeight="1">
      <c r="A21" s="15">
        <f t="shared" si="1"/>
        <v>18</v>
      </c>
      <c r="B21" s="27" t="s">
        <v>110</v>
      </c>
      <c r="C21" s="28"/>
      <c r="D21" s="28"/>
      <c r="E21" s="29"/>
      <c r="F21" s="30" t="s">
        <v>203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31"/>
      <c r="Y21" s="29"/>
    </row>
    <row r="22" ht="24.75" customHeight="1">
      <c r="A22" s="35" t="s">
        <v>204</v>
      </c>
    </row>
    <row r="23" ht="28.5" customHeight="1"/>
    <row r="24" ht="36.75" customHeight="1">
      <c r="A24" s="36">
        <v>1.0</v>
      </c>
      <c r="B24" s="37" t="s">
        <v>3</v>
      </c>
      <c r="C24" s="38" t="s">
        <v>9</v>
      </c>
      <c r="D24" s="28"/>
      <c r="E24" s="28"/>
      <c r="F24" s="29"/>
      <c r="G24" s="39" t="s">
        <v>4</v>
      </c>
      <c r="H24" s="28"/>
      <c r="I24" s="28"/>
      <c r="J24" s="29"/>
      <c r="K24" s="40" t="str">
        <f>F4</f>
        <v>Almacena la información de los usuarios registrados en la red social pascualina.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9"/>
      <c r="X24" s="41" t="s">
        <v>205</v>
      </c>
      <c r="Y24" s="42">
        <v>46023.0</v>
      </c>
      <c r="Z24" s="20" t="s">
        <v>206</v>
      </c>
    </row>
    <row r="25" ht="41.25" customHeight="1">
      <c r="A25" s="41" t="s">
        <v>2</v>
      </c>
      <c r="B25" s="41" t="s">
        <v>207</v>
      </c>
      <c r="C25" s="39" t="s">
        <v>208</v>
      </c>
      <c r="D25" s="28"/>
      <c r="E25" s="28"/>
      <c r="F25" s="29"/>
      <c r="G25" s="39" t="s">
        <v>209</v>
      </c>
      <c r="H25" s="28"/>
      <c r="I25" s="28"/>
      <c r="J25" s="29"/>
      <c r="K25" s="39" t="s">
        <v>210</v>
      </c>
      <c r="L25" s="28"/>
      <c r="M25" s="28"/>
      <c r="N25" s="29"/>
      <c r="O25" s="39" t="s">
        <v>211</v>
      </c>
      <c r="P25" s="28"/>
      <c r="Q25" s="29"/>
      <c r="R25" s="39" t="s">
        <v>212</v>
      </c>
      <c r="S25" s="29"/>
      <c r="T25" s="39" t="s">
        <v>213</v>
      </c>
      <c r="U25" s="29"/>
      <c r="V25" s="39" t="s">
        <v>214</v>
      </c>
      <c r="W25" s="29"/>
      <c r="X25" s="39" t="s">
        <v>215</v>
      </c>
      <c r="Y25" s="29"/>
    </row>
    <row r="26" ht="26.25" customHeight="1">
      <c r="A26" s="16">
        <v>1.0</v>
      </c>
      <c r="B26" s="43" t="s">
        <v>216</v>
      </c>
      <c r="C26" s="44" t="s">
        <v>217</v>
      </c>
      <c r="D26" s="28"/>
      <c r="E26" s="28"/>
      <c r="F26" s="29"/>
      <c r="G26" s="44" t="s">
        <v>218</v>
      </c>
      <c r="H26" s="28"/>
      <c r="I26" s="28"/>
      <c r="J26" s="29"/>
      <c r="K26" s="44" t="s">
        <v>219</v>
      </c>
      <c r="L26" s="28"/>
      <c r="M26" s="28"/>
      <c r="N26" s="29"/>
      <c r="O26" s="44" t="s">
        <v>220</v>
      </c>
      <c r="P26" s="28"/>
      <c r="Q26" s="29"/>
      <c r="R26" s="44" t="s">
        <v>221</v>
      </c>
      <c r="S26" s="29"/>
      <c r="T26" s="45"/>
      <c r="U26" s="29"/>
      <c r="V26" s="45"/>
      <c r="W26" s="29"/>
      <c r="X26" s="44" t="s">
        <v>222</v>
      </c>
      <c r="Y26" s="29"/>
    </row>
    <row r="27" ht="26.25" customHeight="1">
      <c r="A27" s="16">
        <v>2.0</v>
      </c>
      <c r="B27" s="46" t="s">
        <v>223</v>
      </c>
      <c r="C27" s="44" t="s">
        <v>224</v>
      </c>
      <c r="D27" s="28"/>
      <c r="E27" s="28"/>
      <c r="F27" s="29"/>
      <c r="G27" s="44" t="s">
        <v>225</v>
      </c>
      <c r="H27" s="28"/>
      <c r="I27" s="28"/>
      <c r="J27" s="29"/>
      <c r="K27" s="44">
        <v>30.0</v>
      </c>
      <c r="L27" s="28"/>
      <c r="M27" s="28"/>
      <c r="N27" s="29"/>
      <c r="O27" s="44" t="s">
        <v>220</v>
      </c>
      <c r="P27" s="28"/>
      <c r="Q27" s="29"/>
      <c r="R27" s="45"/>
      <c r="S27" s="29"/>
      <c r="T27" s="45"/>
      <c r="U27" s="29"/>
      <c r="V27" s="45"/>
      <c r="W27" s="29"/>
      <c r="X27" s="44" t="s">
        <v>226</v>
      </c>
      <c r="Y27" s="29"/>
    </row>
    <row r="28" ht="26.25" customHeight="1">
      <c r="A28" s="16">
        <v>3.0</v>
      </c>
      <c r="B28" s="43" t="s">
        <v>227</v>
      </c>
      <c r="C28" s="44" t="s">
        <v>228</v>
      </c>
      <c r="D28" s="28"/>
      <c r="E28" s="28"/>
      <c r="F28" s="29"/>
      <c r="G28" s="44" t="s">
        <v>225</v>
      </c>
      <c r="H28" s="28"/>
      <c r="I28" s="28"/>
      <c r="J28" s="29"/>
      <c r="K28" s="44">
        <v>25.0</v>
      </c>
      <c r="L28" s="28"/>
      <c r="M28" s="28"/>
      <c r="N28" s="29"/>
      <c r="O28" s="44" t="s">
        <v>220</v>
      </c>
      <c r="P28" s="28"/>
      <c r="Q28" s="29"/>
      <c r="R28" s="45"/>
      <c r="S28" s="29"/>
      <c r="T28" s="45"/>
      <c r="U28" s="29"/>
      <c r="V28" s="45"/>
      <c r="W28" s="29"/>
      <c r="X28" s="44" t="s">
        <v>229</v>
      </c>
      <c r="Y28" s="29"/>
    </row>
    <row r="29" ht="26.25" customHeight="1">
      <c r="A29" s="16">
        <v>4.0</v>
      </c>
      <c r="B29" s="43" t="s">
        <v>230</v>
      </c>
      <c r="C29" s="44" t="s">
        <v>231</v>
      </c>
      <c r="D29" s="28"/>
      <c r="E29" s="28"/>
      <c r="F29" s="29"/>
      <c r="G29" s="44" t="s">
        <v>225</v>
      </c>
      <c r="H29" s="28"/>
      <c r="I29" s="28"/>
      <c r="J29" s="29"/>
      <c r="K29" s="44">
        <v>150.0</v>
      </c>
      <c r="L29" s="28"/>
      <c r="M29" s="28"/>
      <c r="N29" s="29"/>
      <c r="O29" s="44" t="s">
        <v>220</v>
      </c>
      <c r="P29" s="28"/>
      <c r="Q29" s="29"/>
      <c r="R29" s="45"/>
      <c r="S29" s="29"/>
      <c r="T29" s="45"/>
      <c r="U29" s="29"/>
      <c r="V29" s="44" t="s">
        <v>221</v>
      </c>
      <c r="W29" s="29"/>
      <c r="X29" s="44" t="s">
        <v>232</v>
      </c>
      <c r="Y29" s="29"/>
    </row>
    <row r="30" ht="26.25" customHeight="1">
      <c r="A30" s="16">
        <v>5.0</v>
      </c>
      <c r="B30" s="43" t="s">
        <v>233</v>
      </c>
      <c r="C30" s="44" t="s">
        <v>234</v>
      </c>
      <c r="D30" s="28"/>
      <c r="E30" s="28"/>
      <c r="F30" s="29"/>
      <c r="G30" s="44" t="s">
        <v>225</v>
      </c>
      <c r="H30" s="28"/>
      <c r="I30" s="28"/>
      <c r="J30" s="29"/>
      <c r="K30" s="44">
        <v>20.0</v>
      </c>
      <c r="L30" s="28"/>
      <c r="M30" s="28"/>
      <c r="N30" s="29"/>
      <c r="O30" s="44" t="s">
        <v>220</v>
      </c>
      <c r="P30" s="28"/>
      <c r="Q30" s="29"/>
      <c r="R30" s="45"/>
      <c r="S30" s="29"/>
      <c r="T30" s="45"/>
      <c r="U30" s="29"/>
      <c r="V30" s="45"/>
      <c r="W30" s="29"/>
      <c r="X30" s="44" t="s">
        <v>235</v>
      </c>
      <c r="Y30" s="29"/>
    </row>
    <row r="31" ht="26.25" customHeight="1">
      <c r="A31" s="47">
        <v>6.0</v>
      </c>
      <c r="B31" s="43" t="s">
        <v>236</v>
      </c>
      <c r="C31" s="44" t="s">
        <v>237</v>
      </c>
      <c r="D31" s="28"/>
      <c r="E31" s="28"/>
      <c r="F31" s="29"/>
      <c r="G31" s="44" t="s">
        <v>238</v>
      </c>
      <c r="H31" s="28"/>
      <c r="I31" s="28"/>
      <c r="J31" s="29"/>
      <c r="K31" s="44" t="s">
        <v>91</v>
      </c>
      <c r="L31" s="28"/>
      <c r="M31" s="28"/>
      <c r="N31" s="29"/>
      <c r="O31" s="44" t="s">
        <v>220</v>
      </c>
      <c r="P31" s="28"/>
      <c r="Q31" s="29"/>
      <c r="R31" s="45"/>
      <c r="S31" s="29"/>
      <c r="T31" s="45"/>
      <c r="U31" s="29"/>
      <c r="V31" s="45"/>
      <c r="W31" s="29"/>
      <c r="X31" s="44" t="s">
        <v>239</v>
      </c>
      <c r="Y31" s="29"/>
    </row>
    <row r="32" ht="26.25" customHeight="1">
      <c r="A32" s="48">
        <v>7.0</v>
      </c>
      <c r="B32" s="43" t="s">
        <v>240</v>
      </c>
      <c r="C32" s="44" t="s">
        <v>241</v>
      </c>
      <c r="D32" s="28"/>
      <c r="E32" s="28"/>
      <c r="F32" s="29"/>
      <c r="G32" s="44" t="s">
        <v>225</v>
      </c>
      <c r="H32" s="28"/>
      <c r="I32" s="28"/>
      <c r="J32" s="29"/>
      <c r="K32" s="44">
        <v>20.0</v>
      </c>
      <c r="L32" s="28"/>
      <c r="M32" s="28"/>
      <c r="N32" s="29"/>
      <c r="O32" s="44" t="s">
        <v>220</v>
      </c>
      <c r="P32" s="28"/>
      <c r="Q32" s="29"/>
      <c r="R32" s="45"/>
      <c r="S32" s="29"/>
      <c r="T32" s="45"/>
      <c r="U32" s="29"/>
      <c r="V32" s="45"/>
      <c r="W32" s="29"/>
      <c r="X32" s="44" t="s">
        <v>242</v>
      </c>
      <c r="Y32" s="29"/>
    </row>
    <row r="33" ht="37.5" customHeight="1">
      <c r="A33" s="36">
        <v>2.0</v>
      </c>
      <c r="B33" s="39" t="s">
        <v>3</v>
      </c>
      <c r="C33" s="49" t="str">
        <f>B5</f>
        <v>rol</v>
      </c>
      <c r="D33" s="28"/>
      <c r="E33" s="28"/>
      <c r="F33" s="29"/>
      <c r="G33" s="39" t="s">
        <v>4</v>
      </c>
      <c r="H33" s="28"/>
      <c r="I33" s="28"/>
      <c r="J33" s="29"/>
      <c r="K33" s="50" t="str">
        <f>F5</f>
        <v>Define los roles y nivel de permisos dentro del sistema (ej. Administrador, Moderador, Usuario).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9"/>
      <c r="X33" s="41" t="s">
        <v>205</v>
      </c>
      <c r="Y33" s="51"/>
    </row>
    <row r="34" ht="47.25" customHeight="1">
      <c r="A34" s="41" t="s">
        <v>2</v>
      </c>
      <c r="B34" s="41" t="s">
        <v>207</v>
      </c>
      <c r="C34" s="39" t="s">
        <v>208</v>
      </c>
      <c r="D34" s="28"/>
      <c r="E34" s="28"/>
      <c r="F34" s="29"/>
      <c r="G34" s="39" t="s">
        <v>243</v>
      </c>
      <c r="H34" s="28"/>
      <c r="I34" s="28"/>
      <c r="J34" s="29"/>
      <c r="K34" s="39" t="s">
        <v>210</v>
      </c>
      <c r="L34" s="28"/>
      <c r="M34" s="28"/>
      <c r="N34" s="29"/>
      <c r="O34" s="39" t="s">
        <v>211</v>
      </c>
      <c r="P34" s="28"/>
      <c r="Q34" s="29"/>
      <c r="R34" s="39" t="s">
        <v>212</v>
      </c>
      <c r="S34" s="29"/>
      <c r="T34" s="39" t="s">
        <v>213</v>
      </c>
      <c r="U34" s="29"/>
      <c r="V34" s="39" t="s">
        <v>214</v>
      </c>
      <c r="W34" s="29"/>
      <c r="X34" s="39" t="s">
        <v>215</v>
      </c>
      <c r="Y34" s="29"/>
    </row>
    <row r="35" ht="26.25" customHeight="1">
      <c r="A35" s="16">
        <v>1.0</v>
      </c>
      <c r="B35" s="43" t="s">
        <v>244</v>
      </c>
      <c r="C35" s="44" t="s">
        <v>245</v>
      </c>
      <c r="D35" s="28"/>
      <c r="E35" s="28"/>
      <c r="F35" s="29"/>
      <c r="G35" s="44" t="s">
        <v>246</v>
      </c>
      <c r="H35" s="28"/>
      <c r="I35" s="28"/>
      <c r="J35" s="29"/>
      <c r="K35" s="44" t="s">
        <v>45</v>
      </c>
      <c r="L35" s="28"/>
      <c r="M35" s="28"/>
      <c r="N35" s="29"/>
      <c r="O35" s="44" t="s">
        <v>247</v>
      </c>
      <c r="P35" s="28"/>
      <c r="Q35" s="29"/>
      <c r="R35" s="44" t="s">
        <v>221</v>
      </c>
      <c r="S35" s="29"/>
      <c r="T35" s="45"/>
      <c r="U35" s="29"/>
      <c r="V35" s="45"/>
      <c r="W35" s="29"/>
      <c r="X35" s="44" t="s">
        <v>248</v>
      </c>
      <c r="Y35" s="29"/>
    </row>
    <row r="36" ht="26.25" customHeight="1">
      <c r="A36" s="16">
        <v>2.0</v>
      </c>
      <c r="B36" s="43" t="s">
        <v>249</v>
      </c>
      <c r="C36" s="44" t="s">
        <v>250</v>
      </c>
      <c r="D36" s="28"/>
      <c r="E36" s="28"/>
      <c r="F36" s="29"/>
      <c r="G36" s="44" t="s">
        <v>225</v>
      </c>
      <c r="H36" s="28"/>
      <c r="I36" s="28"/>
      <c r="J36" s="29"/>
      <c r="K36" s="44">
        <v>50.0</v>
      </c>
      <c r="L36" s="28"/>
      <c r="M36" s="28"/>
      <c r="N36" s="29"/>
      <c r="O36" s="44" t="s">
        <v>247</v>
      </c>
      <c r="P36" s="28"/>
      <c r="Q36" s="29"/>
      <c r="R36" s="45"/>
      <c r="S36" s="29"/>
      <c r="T36" s="45"/>
      <c r="U36" s="29"/>
      <c r="V36" s="44" t="s">
        <v>221</v>
      </c>
      <c r="W36" s="29"/>
      <c r="X36" s="44" t="s">
        <v>251</v>
      </c>
      <c r="Y36" s="29"/>
    </row>
    <row r="37" ht="26.25" customHeight="1">
      <c r="A37" s="16">
        <v>3.0</v>
      </c>
      <c r="B37" s="43" t="s">
        <v>252</v>
      </c>
      <c r="C37" s="44" t="s">
        <v>253</v>
      </c>
      <c r="D37" s="28"/>
      <c r="E37" s="28"/>
      <c r="F37" s="29"/>
      <c r="G37" s="44" t="s">
        <v>67</v>
      </c>
      <c r="H37" s="28"/>
      <c r="I37" s="28"/>
      <c r="J37" s="29"/>
      <c r="K37" s="44" t="s">
        <v>132</v>
      </c>
      <c r="L37" s="28"/>
      <c r="M37" s="28"/>
      <c r="N37" s="29"/>
      <c r="O37" s="44" t="s">
        <v>254</v>
      </c>
      <c r="P37" s="28"/>
      <c r="Q37" s="29"/>
      <c r="R37" s="45"/>
      <c r="S37" s="29"/>
      <c r="T37" s="45"/>
      <c r="U37" s="29"/>
      <c r="V37" s="45"/>
      <c r="W37" s="29"/>
      <c r="X37" s="44" t="s">
        <v>255</v>
      </c>
      <c r="Y37" s="29"/>
    </row>
    <row r="38" ht="48.0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ht="15.75" customHeight="1"/>
    <row r="40" ht="15.75" customHeight="1">
      <c r="A40" s="53">
        <v>3.0</v>
      </c>
      <c r="B40" s="39" t="s">
        <v>3</v>
      </c>
      <c r="C40" s="49" t="str">
        <f>B6</f>
        <v>tipo_de_usuario</v>
      </c>
      <c r="D40" s="28"/>
      <c r="E40" s="28"/>
      <c r="F40" s="29"/>
      <c r="G40" s="39" t="s">
        <v>4</v>
      </c>
      <c r="H40" s="28"/>
      <c r="I40" s="28"/>
      <c r="J40" s="29"/>
      <c r="K40" s="50" t="str">
        <f>F6</f>
        <v>Clasifica a los usuarios según su perfil en la institución (estudiante, docente, egresado, etc.).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9"/>
      <c r="X40" s="41" t="s">
        <v>205</v>
      </c>
      <c r="Y40" s="51"/>
    </row>
    <row r="41" ht="15.75" customHeight="1">
      <c r="A41" s="41" t="s">
        <v>2</v>
      </c>
      <c r="B41" s="41" t="s">
        <v>207</v>
      </c>
      <c r="C41" s="39" t="s">
        <v>208</v>
      </c>
      <c r="D41" s="28"/>
      <c r="E41" s="28"/>
      <c r="F41" s="29"/>
      <c r="G41" s="39" t="s">
        <v>243</v>
      </c>
      <c r="H41" s="28"/>
      <c r="I41" s="28"/>
      <c r="J41" s="29"/>
      <c r="K41" s="39" t="s">
        <v>210</v>
      </c>
      <c r="L41" s="28"/>
      <c r="M41" s="28"/>
      <c r="N41" s="29"/>
      <c r="O41" s="39" t="s">
        <v>211</v>
      </c>
      <c r="P41" s="28"/>
      <c r="Q41" s="29"/>
      <c r="R41" s="39" t="s">
        <v>212</v>
      </c>
      <c r="S41" s="29"/>
      <c r="T41" s="39" t="s">
        <v>213</v>
      </c>
      <c r="U41" s="29"/>
      <c r="V41" s="39" t="s">
        <v>214</v>
      </c>
      <c r="W41" s="29"/>
      <c r="X41" s="39" t="s">
        <v>215</v>
      </c>
      <c r="Y41" s="29"/>
    </row>
    <row r="42" ht="15.75" customHeight="1">
      <c r="A42" s="16">
        <v>1.0</v>
      </c>
      <c r="B42" s="43" t="s">
        <v>256</v>
      </c>
      <c r="C42" s="54" t="s">
        <v>257</v>
      </c>
      <c r="D42" s="28"/>
      <c r="E42" s="28"/>
      <c r="F42" s="29"/>
      <c r="G42" s="44" t="s">
        <v>246</v>
      </c>
      <c r="H42" s="28"/>
      <c r="I42" s="28"/>
      <c r="J42" s="29"/>
      <c r="K42" s="44" t="s">
        <v>45</v>
      </c>
      <c r="L42" s="28"/>
      <c r="M42" s="28"/>
      <c r="N42" s="29"/>
      <c r="O42" s="44" t="s">
        <v>220</v>
      </c>
      <c r="P42" s="28"/>
      <c r="Q42" s="29"/>
      <c r="R42" s="44" t="s">
        <v>221</v>
      </c>
      <c r="S42" s="29"/>
      <c r="T42" s="45"/>
      <c r="U42" s="29"/>
      <c r="V42" s="45"/>
      <c r="W42" s="29"/>
      <c r="X42" s="44" t="s">
        <v>248</v>
      </c>
      <c r="Y42" s="29"/>
    </row>
    <row r="43" ht="15.75" customHeight="1">
      <c r="A43" s="16">
        <v>2.0</v>
      </c>
      <c r="B43" s="43" t="s">
        <v>258</v>
      </c>
      <c r="C43" s="55" t="s">
        <v>259</v>
      </c>
      <c r="D43" s="28"/>
      <c r="E43" s="28"/>
      <c r="F43" s="29"/>
      <c r="G43" s="44" t="s">
        <v>225</v>
      </c>
      <c r="H43" s="28"/>
      <c r="I43" s="28"/>
      <c r="J43" s="29"/>
      <c r="K43" s="44">
        <v>50.0</v>
      </c>
      <c r="L43" s="28"/>
      <c r="M43" s="28"/>
      <c r="N43" s="29"/>
      <c r="O43" s="44" t="s">
        <v>220</v>
      </c>
      <c r="P43" s="28"/>
      <c r="Q43" s="29"/>
      <c r="R43" s="45"/>
      <c r="S43" s="29"/>
      <c r="T43" s="45"/>
      <c r="U43" s="29"/>
      <c r="V43" s="44" t="s">
        <v>221</v>
      </c>
      <c r="W43" s="29"/>
      <c r="X43" s="44" t="s">
        <v>260</v>
      </c>
      <c r="Y43" s="29"/>
    </row>
    <row r="44" ht="15.75" customHeight="1">
      <c r="A44" s="16">
        <v>3.0</v>
      </c>
      <c r="B44" s="43" t="s">
        <v>252</v>
      </c>
      <c r="C44" s="56" t="s">
        <v>261</v>
      </c>
      <c r="D44" s="28"/>
      <c r="E44" s="28"/>
      <c r="F44" s="29"/>
      <c r="G44" s="44" t="s">
        <v>67</v>
      </c>
      <c r="H44" s="28"/>
      <c r="I44" s="28"/>
      <c r="J44" s="29"/>
      <c r="K44" s="44" t="s">
        <v>132</v>
      </c>
      <c r="L44" s="28"/>
      <c r="M44" s="28"/>
      <c r="N44" s="29"/>
      <c r="O44" s="44" t="s">
        <v>254</v>
      </c>
      <c r="P44" s="28"/>
      <c r="Q44" s="29"/>
      <c r="R44" s="45"/>
      <c r="S44" s="29"/>
      <c r="T44" s="45"/>
      <c r="U44" s="29"/>
      <c r="V44" s="45"/>
      <c r="W44" s="29"/>
      <c r="X44" s="44" t="s">
        <v>262</v>
      </c>
      <c r="Y44" s="29"/>
    </row>
    <row r="45" ht="15.75" customHeight="1"/>
    <row r="46" ht="15.75" customHeight="1">
      <c r="A46" s="53">
        <v>4.0</v>
      </c>
      <c r="B46" s="39" t="s">
        <v>3</v>
      </c>
      <c r="C46" s="49" t="str">
        <f>B7</f>
        <v>perfil</v>
      </c>
      <c r="D46" s="28"/>
      <c r="E46" s="28"/>
      <c r="F46" s="29"/>
      <c r="G46" s="39" t="s">
        <v>4</v>
      </c>
      <c r="H46" s="28"/>
      <c r="I46" s="28"/>
      <c r="J46" s="29"/>
      <c r="K46" s="50" t="str">
        <f>F7</f>
        <v>Almacena la información extendida del usuario como intereses, habilidades y datos flexibles en JSON/JSONB.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9"/>
      <c r="X46" s="41" t="s">
        <v>205</v>
      </c>
      <c r="Y46" s="51"/>
    </row>
    <row r="47" ht="15.75" customHeight="1">
      <c r="A47" s="41" t="s">
        <v>2</v>
      </c>
      <c r="B47" s="41" t="s">
        <v>207</v>
      </c>
      <c r="C47" s="39" t="s">
        <v>208</v>
      </c>
      <c r="D47" s="28"/>
      <c r="E47" s="28"/>
      <c r="F47" s="29"/>
      <c r="G47" s="39" t="s">
        <v>243</v>
      </c>
      <c r="H47" s="28"/>
      <c r="I47" s="28"/>
      <c r="J47" s="29"/>
      <c r="K47" s="39" t="s">
        <v>210</v>
      </c>
      <c r="L47" s="28"/>
      <c r="M47" s="28"/>
      <c r="N47" s="29"/>
      <c r="O47" s="39" t="s">
        <v>211</v>
      </c>
      <c r="P47" s="28"/>
      <c r="Q47" s="29"/>
      <c r="R47" s="39" t="s">
        <v>212</v>
      </c>
      <c r="S47" s="29"/>
      <c r="T47" s="39" t="s">
        <v>213</v>
      </c>
      <c r="U47" s="29"/>
      <c r="V47" s="39" t="s">
        <v>214</v>
      </c>
      <c r="W47" s="29"/>
      <c r="X47" s="39" t="s">
        <v>215</v>
      </c>
      <c r="Y47" s="29"/>
    </row>
    <row r="48" ht="15.75" customHeight="1">
      <c r="A48" s="16">
        <v>1.0</v>
      </c>
      <c r="B48" s="43" t="s">
        <v>263</v>
      </c>
      <c r="C48" s="44" t="s">
        <v>264</v>
      </c>
      <c r="D48" s="28"/>
      <c r="E48" s="28"/>
      <c r="F48" s="29"/>
      <c r="G48" s="56" t="s">
        <v>246</v>
      </c>
      <c r="H48" s="28"/>
      <c r="I48" s="28"/>
      <c r="J48" s="29"/>
      <c r="K48" s="44" t="s">
        <v>45</v>
      </c>
      <c r="L48" s="28"/>
      <c r="M48" s="28"/>
      <c r="N48" s="29"/>
      <c r="O48" s="44" t="s">
        <v>220</v>
      </c>
      <c r="P48" s="28"/>
      <c r="Q48" s="29"/>
      <c r="R48" s="44" t="s">
        <v>221</v>
      </c>
      <c r="S48" s="29"/>
      <c r="T48" s="45"/>
      <c r="U48" s="29"/>
      <c r="V48" s="45"/>
      <c r="W48" s="29"/>
      <c r="X48" s="46" t="s">
        <v>248</v>
      </c>
      <c r="Y48" s="57"/>
    </row>
    <row r="49" ht="15.75" customHeight="1">
      <c r="A49" s="16">
        <v>2.0</v>
      </c>
      <c r="B49" s="43" t="s">
        <v>216</v>
      </c>
      <c r="C49" s="44" t="s">
        <v>265</v>
      </c>
      <c r="D49" s="28"/>
      <c r="E49" s="28"/>
      <c r="F49" s="29"/>
      <c r="G49" s="56" t="s">
        <v>266</v>
      </c>
      <c r="H49" s="28"/>
      <c r="I49" s="28"/>
      <c r="J49" s="29"/>
      <c r="K49" s="44" t="s">
        <v>45</v>
      </c>
      <c r="L49" s="28"/>
      <c r="M49" s="28"/>
      <c r="N49" s="29"/>
      <c r="O49" s="44" t="s">
        <v>220</v>
      </c>
      <c r="P49" s="28"/>
      <c r="Q49" s="29"/>
      <c r="R49" s="45"/>
      <c r="S49" s="29"/>
      <c r="T49" s="44" t="s">
        <v>221</v>
      </c>
      <c r="U49" s="29"/>
      <c r="V49" s="44" t="s">
        <v>221</v>
      </c>
      <c r="W49" s="29"/>
      <c r="X49" s="44" t="s">
        <v>267</v>
      </c>
      <c r="Y49" s="29"/>
    </row>
    <row r="50" ht="15.75" customHeight="1">
      <c r="A50" s="16">
        <v>3.0</v>
      </c>
      <c r="B50" s="43" t="s">
        <v>268</v>
      </c>
      <c r="C50" s="58" t="s">
        <v>269</v>
      </c>
      <c r="D50" s="28"/>
      <c r="E50" s="28"/>
      <c r="F50" s="29"/>
      <c r="G50" s="44" t="s">
        <v>225</v>
      </c>
      <c r="H50" s="28"/>
      <c r="I50" s="28"/>
      <c r="J50" s="29"/>
      <c r="K50" s="44">
        <v>150.0</v>
      </c>
      <c r="L50" s="28"/>
      <c r="M50" s="28"/>
      <c r="N50" s="29"/>
      <c r="O50" s="44" t="s">
        <v>254</v>
      </c>
      <c r="P50" s="28"/>
      <c r="Q50" s="29"/>
      <c r="R50" s="45"/>
      <c r="S50" s="29"/>
      <c r="T50" s="45"/>
      <c r="U50" s="29"/>
      <c r="V50" s="45"/>
      <c r="W50" s="29"/>
      <c r="X50" s="44" t="s">
        <v>270</v>
      </c>
      <c r="Y50" s="29"/>
    </row>
    <row r="51" ht="15.75" customHeight="1">
      <c r="A51" s="16">
        <v>4.0</v>
      </c>
      <c r="B51" s="43" t="s">
        <v>271</v>
      </c>
      <c r="C51" s="59" t="s">
        <v>272</v>
      </c>
      <c r="D51" s="28"/>
      <c r="E51" s="28"/>
      <c r="F51" s="29"/>
      <c r="G51" s="44" t="s">
        <v>67</v>
      </c>
      <c r="H51" s="28"/>
      <c r="I51" s="28"/>
      <c r="J51" s="29"/>
      <c r="K51" s="44" t="s">
        <v>273</v>
      </c>
      <c r="L51" s="28"/>
      <c r="M51" s="28"/>
      <c r="N51" s="29"/>
      <c r="O51" s="44" t="s">
        <v>254</v>
      </c>
      <c r="P51" s="28"/>
      <c r="Q51" s="29"/>
      <c r="R51" s="45"/>
      <c r="S51" s="29"/>
      <c r="T51" s="45"/>
      <c r="U51" s="29"/>
      <c r="V51" s="45"/>
      <c r="W51" s="29"/>
      <c r="X51" s="44" t="s">
        <v>274</v>
      </c>
      <c r="Y51" s="29"/>
    </row>
    <row r="52" ht="15.75" customHeight="1">
      <c r="A52" s="16">
        <v>5.0</v>
      </c>
      <c r="B52" s="43" t="s">
        <v>275</v>
      </c>
      <c r="C52" s="60" t="s">
        <v>276</v>
      </c>
      <c r="D52" s="28"/>
      <c r="E52" s="28"/>
      <c r="F52" s="29"/>
      <c r="G52" s="44" t="s">
        <v>67</v>
      </c>
      <c r="H52" s="28"/>
      <c r="I52" s="28"/>
      <c r="J52" s="29"/>
      <c r="K52" s="44" t="s">
        <v>273</v>
      </c>
      <c r="L52" s="28"/>
      <c r="M52" s="28"/>
      <c r="N52" s="29"/>
      <c r="O52" s="44" t="s">
        <v>254</v>
      </c>
      <c r="P52" s="28"/>
      <c r="Q52" s="29"/>
      <c r="R52" s="45"/>
      <c r="S52" s="29"/>
      <c r="T52" s="45"/>
      <c r="U52" s="29"/>
      <c r="V52" s="45"/>
      <c r="W52" s="29"/>
      <c r="X52" s="44" t="s">
        <v>277</v>
      </c>
      <c r="Y52" s="29"/>
    </row>
    <row r="53" ht="15.75" customHeight="1">
      <c r="A53" s="47">
        <v>6.0</v>
      </c>
      <c r="B53" s="43" t="s">
        <v>278</v>
      </c>
      <c r="C53" s="59" t="s">
        <v>279</v>
      </c>
      <c r="D53" s="28"/>
      <c r="E53" s="28"/>
      <c r="F53" s="29"/>
      <c r="G53" s="44" t="s">
        <v>137</v>
      </c>
      <c r="H53" s="28"/>
      <c r="I53" s="28"/>
      <c r="J53" s="29"/>
      <c r="K53" s="44" t="s">
        <v>273</v>
      </c>
      <c r="L53" s="28"/>
      <c r="M53" s="28"/>
      <c r="N53" s="29"/>
      <c r="O53" s="44" t="s">
        <v>254</v>
      </c>
      <c r="P53" s="28"/>
      <c r="Q53" s="29"/>
      <c r="R53" s="45"/>
      <c r="S53" s="29"/>
      <c r="T53" s="45"/>
      <c r="U53" s="29"/>
      <c r="V53" s="45"/>
      <c r="W53" s="29"/>
      <c r="X53" s="46" t="s">
        <v>280</v>
      </c>
      <c r="Y53" s="57"/>
    </row>
    <row r="54" ht="15.75" customHeight="1"/>
    <row r="55" ht="15.75" customHeight="1"/>
    <row r="56" ht="15.75" customHeight="1">
      <c r="A56" s="53">
        <v>5.0</v>
      </c>
      <c r="B56" s="39" t="s">
        <v>3</v>
      </c>
      <c r="C56" s="49" t="str">
        <f>B8</f>
        <v>publicacion</v>
      </c>
      <c r="D56" s="28"/>
      <c r="E56" s="28"/>
      <c r="F56" s="29"/>
      <c r="G56" s="39" t="s">
        <v>4</v>
      </c>
      <c r="H56" s="28"/>
      <c r="I56" s="28"/>
      <c r="J56" s="29"/>
      <c r="K56" s="50" t="str">
        <f>F8</f>
        <v>Contiene el material, publicaciones o post creados por los usuarios.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9"/>
      <c r="X56" s="41" t="s">
        <v>205</v>
      </c>
      <c r="Y56" s="51"/>
    </row>
    <row r="57" ht="15.75" customHeight="1">
      <c r="A57" s="41" t="s">
        <v>2</v>
      </c>
      <c r="B57" s="41" t="s">
        <v>207</v>
      </c>
      <c r="C57" s="39" t="s">
        <v>208</v>
      </c>
      <c r="D57" s="28"/>
      <c r="E57" s="28"/>
      <c r="F57" s="29"/>
      <c r="G57" s="39" t="s">
        <v>243</v>
      </c>
      <c r="H57" s="28"/>
      <c r="I57" s="28"/>
      <c r="J57" s="29"/>
      <c r="K57" s="39" t="s">
        <v>210</v>
      </c>
      <c r="L57" s="28"/>
      <c r="M57" s="28"/>
      <c r="N57" s="29"/>
      <c r="O57" s="39" t="s">
        <v>211</v>
      </c>
      <c r="P57" s="28"/>
      <c r="Q57" s="29"/>
      <c r="R57" s="39" t="s">
        <v>212</v>
      </c>
      <c r="S57" s="29"/>
      <c r="T57" s="39" t="s">
        <v>213</v>
      </c>
      <c r="U57" s="29"/>
      <c r="V57" s="39" t="s">
        <v>214</v>
      </c>
      <c r="W57" s="29"/>
      <c r="X57" s="39" t="s">
        <v>215</v>
      </c>
      <c r="Y57" s="29"/>
    </row>
    <row r="58" ht="15.75" customHeight="1">
      <c r="A58" s="16">
        <v>1.0</v>
      </c>
      <c r="B58" s="43" t="s">
        <v>281</v>
      </c>
      <c r="C58" s="54" t="s">
        <v>282</v>
      </c>
      <c r="D58" s="28"/>
      <c r="E58" s="28"/>
      <c r="F58" s="29"/>
      <c r="G58" s="55" t="s">
        <v>283</v>
      </c>
      <c r="H58" s="28"/>
      <c r="I58" s="28"/>
      <c r="J58" s="29"/>
      <c r="K58" s="44" t="s">
        <v>45</v>
      </c>
      <c r="L58" s="28"/>
      <c r="M58" s="28"/>
      <c r="N58" s="29"/>
      <c r="O58" s="44" t="s">
        <v>220</v>
      </c>
      <c r="P58" s="28"/>
      <c r="Q58" s="29"/>
      <c r="R58" s="44" t="s">
        <v>221</v>
      </c>
      <c r="S58" s="29"/>
      <c r="T58" s="45"/>
      <c r="U58" s="29"/>
      <c r="V58" s="45"/>
      <c r="W58" s="29"/>
      <c r="X58" s="44" t="s">
        <v>248</v>
      </c>
      <c r="Y58" s="29"/>
    </row>
    <row r="59" ht="15.75" customHeight="1">
      <c r="A59" s="16">
        <v>2.0</v>
      </c>
      <c r="B59" s="43" t="s">
        <v>216</v>
      </c>
      <c r="C59" s="55" t="s">
        <v>284</v>
      </c>
      <c r="D59" s="28"/>
      <c r="E59" s="28"/>
      <c r="F59" s="29"/>
      <c r="G59" s="44" t="s">
        <v>266</v>
      </c>
      <c r="H59" s="28"/>
      <c r="I59" s="28"/>
      <c r="J59" s="29"/>
      <c r="K59" s="44" t="s">
        <v>45</v>
      </c>
      <c r="L59" s="28"/>
      <c r="M59" s="28"/>
      <c r="N59" s="29"/>
      <c r="O59" s="44" t="s">
        <v>220</v>
      </c>
      <c r="P59" s="28"/>
      <c r="Q59" s="29"/>
      <c r="R59" s="45"/>
      <c r="S59" s="29"/>
      <c r="T59" s="44" t="s">
        <v>221</v>
      </c>
      <c r="U59" s="29"/>
      <c r="V59" s="45"/>
      <c r="W59" s="29"/>
      <c r="X59" s="61" t="s">
        <v>285</v>
      </c>
      <c r="Y59" s="57"/>
    </row>
    <row r="60" ht="15.75" customHeight="1">
      <c r="A60" s="16">
        <v>3.0</v>
      </c>
      <c r="B60" s="43" t="s">
        <v>286</v>
      </c>
      <c r="C60" s="58" t="s">
        <v>287</v>
      </c>
      <c r="D60" s="28"/>
      <c r="E60" s="28"/>
      <c r="F60" s="29"/>
      <c r="G60" s="44" t="s">
        <v>67</v>
      </c>
      <c r="H60" s="28"/>
      <c r="I60" s="28"/>
      <c r="J60" s="29"/>
      <c r="K60" s="44" t="s">
        <v>273</v>
      </c>
      <c r="L60" s="28"/>
      <c r="M60" s="28"/>
      <c r="N60" s="29"/>
      <c r="O60" s="44" t="s">
        <v>220</v>
      </c>
      <c r="P60" s="28"/>
      <c r="Q60" s="29"/>
      <c r="R60" s="45"/>
      <c r="S60" s="29"/>
      <c r="T60" s="45"/>
      <c r="U60" s="29"/>
      <c r="V60" s="45"/>
      <c r="W60" s="29"/>
      <c r="X60" s="61" t="s">
        <v>288</v>
      </c>
      <c r="Y60" s="57"/>
    </row>
    <row r="61" ht="15.75" customHeight="1">
      <c r="A61" s="16">
        <v>4.0</v>
      </c>
      <c r="B61" s="43" t="s">
        <v>289</v>
      </c>
      <c r="C61" s="62" t="s">
        <v>290</v>
      </c>
      <c r="D61" s="63"/>
      <c r="E61" s="63"/>
      <c r="F61" s="57"/>
      <c r="G61" s="44" t="s">
        <v>225</v>
      </c>
      <c r="H61" s="28"/>
      <c r="I61" s="28"/>
      <c r="J61" s="29"/>
      <c r="K61" s="44">
        <v>50.0</v>
      </c>
      <c r="L61" s="28"/>
      <c r="M61" s="28"/>
      <c r="N61" s="29"/>
      <c r="O61" s="44" t="s">
        <v>220</v>
      </c>
      <c r="P61" s="28"/>
      <c r="Q61" s="29"/>
      <c r="R61" s="45"/>
      <c r="S61" s="29"/>
      <c r="T61" s="45"/>
      <c r="U61" s="29"/>
      <c r="V61" s="45"/>
      <c r="W61" s="29"/>
      <c r="X61" s="46" t="s">
        <v>291</v>
      </c>
      <c r="Y61" s="57"/>
    </row>
    <row r="62" ht="15.75" customHeight="1">
      <c r="A62" s="16">
        <v>5.0</v>
      </c>
      <c r="B62" s="43" t="s">
        <v>292</v>
      </c>
      <c r="C62" s="58" t="s">
        <v>293</v>
      </c>
      <c r="D62" s="28"/>
      <c r="E62" s="28"/>
      <c r="F62" s="29"/>
      <c r="G62" s="44" t="s">
        <v>238</v>
      </c>
      <c r="H62" s="28"/>
      <c r="I62" s="28"/>
      <c r="J62" s="29"/>
      <c r="K62" s="44" t="s">
        <v>91</v>
      </c>
      <c r="L62" s="28"/>
      <c r="M62" s="28"/>
      <c r="N62" s="29"/>
      <c r="O62" s="44" t="s">
        <v>220</v>
      </c>
      <c r="P62" s="28"/>
      <c r="Q62" s="29"/>
      <c r="R62" s="45"/>
      <c r="S62" s="29"/>
      <c r="T62" s="45"/>
      <c r="U62" s="29"/>
      <c r="V62" s="45"/>
      <c r="W62" s="29"/>
      <c r="X62" s="46" t="s">
        <v>239</v>
      </c>
      <c r="Y62" s="57"/>
    </row>
    <row r="63" ht="15.75" customHeight="1">
      <c r="A63" s="47">
        <v>6.0</v>
      </c>
      <c r="B63" s="43" t="s">
        <v>240</v>
      </c>
      <c r="C63" s="64" t="s">
        <v>294</v>
      </c>
      <c r="D63" s="63"/>
      <c r="E63" s="63"/>
      <c r="F63" s="57"/>
      <c r="G63" s="44" t="s">
        <v>225</v>
      </c>
      <c r="H63" s="28"/>
      <c r="I63" s="28"/>
      <c r="J63" s="29"/>
      <c r="K63" s="44">
        <v>20.0</v>
      </c>
      <c r="L63" s="28"/>
      <c r="M63" s="28"/>
      <c r="N63" s="29"/>
      <c r="O63" s="44" t="s">
        <v>220</v>
      </c>
      <c r="P63" s="28"/>
      <c r="Q63" s="29"/>
      <c r="R63" s="45"/>
      <c r="S63" s="29"/>
      <c r="T63" s="45"/>
      <c r="U63" s="29"/>
      <c r="V63" s="45"/>
      <c r="W63" s="29"/>
      <c r="X63" s="62" t="s">
        <v>295</v>
      </c>
      <c r="Y63" s="57"/>
    </row>
    <row r="64" ht="15.75" customHeight="1"/>
    <row r="65" ht="15.75" customHeight="1"/>
    <row r="66" ht="15.75" customHeight="1">
      <c r="A66" s="53">
        <v>6.0</v>
      </c>
      <c r="B66" s="39" t="s">
        <v>3</v>
      </c>
      <c r="C66" s="49" t="str">
        <f>B9</f>
        <v>comentario</v>
      </c>
      <c r="D66" s="28"/>
      <c r="E66" s="28"/>
      <c r="F66" s="29"/>
      <c r="G66" s="39" t="s">
        <v>4</v>
      </c>
      <c r="H66" s="28"/>
      <c r="I66" s="28"/>
      <c r="J66" s="29"/>
      <c r="K66" s="50" t="str">
        <f>F9</f>
        <v>Almacena los comentarios realizamos por los usuarios en las publicaciones.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9"/>
      <c r="X66" s="41" t="s">
        <v>205</v>
      </c>
      <c r="Y66" s="51"/>
    </row>
    <row r="67" ht="15.75" customHeight="1">
      <c r="A67" s="41" t="s">
        <v>2</v>
      </c>
      <c r="B67" s="41" t="s">
        <v>207</v>
      </c>
      <c r="C67" s="39" t="s">
        <v>208</v>
      </c>
      <c r="D67" s="28"/>
      <c r="E67" s="28"/>
      <c r="F67" s="29"/>
      <c r="G67" s="39" t="s">
        <v>243</v>
      </c>
      <c r="H67" s="28"/>
      <c r="I67" s="28"/>
      <c r="J67" s="29"/>
      <c r="K67" s="39" t="s">
        <v>210</v>
      </c>
      <c r="L67" s="28"/>
      <c r="M67" s="28"/>
      <c r="N67" s="29"/>
      <c r="O67" s="39" t="s">
        <v>211</v>
      </c>
      <c r="P67" s="28"/>
      <c r="Q67" s="29"/>
      <c r="R67" s="39" t="s">
        <v>212</v>
      </c>
      <c r="S67" s="29"/>
      <c r="T67" s="39" t="s">
        <v>213</v>
      </c>
      <c r="U67" s="29"/>
      <c r="V67" s="39" t="s">
        <v>214</v>
      </c>
      <c r="W67" s="29"/>
      <c r="X67" s="39" t="s">
        <v>215</v>
      </c>
      <c r="Y67" s="29"/>
    </row>
    <row r="68" ht="15.75" customHeight="1">
      <c r="A68" s="16">
        <v>1.0</v>
      </c>
      <c r="B68" s="43" t="s">
        <v>296</v>
      </c>
      <c r="C68" s="55" t="s">
        <v>297</v>
      </c>
      <c r="D68" s="28"/>
      <c r="E68" s="28"/>
      <c r="F68" s="29"/>
      <c r="G68" s="44" t="s">
        <v>246</v>
      </c>
      <c r="H68" s="28"/>
      <c r="I68" s="28"/>
      <c r="J68" s="29"/>
      <c r="K68" s="44" t="s">
        <v>45</v>
      </c>
      <c r="L68" s="28"/>
      <c r="M68" s="28"/>
      <c r="N68" s="29"/>
      <c r="O68" s="44" t="s">
        <v>220</v>
      </c>
      <c r="P68" s="28"/>
      <c r="Q68" s="29"/>
      <c r="R68" s="44" t="s">
        <v>221</v>
      </c>
      <c r="S68" s="29"/>
      <c r="T68" s="45"/>
      <c r="U68" s="29"/>
      <c r="V68" s="45"/>
      <c r="W68" s="29"/>
      <c r="X68" s="44" t="s">
        <v>248</v>
      </c>
      <c r="Y68" s="29"/>
    </row>
    <row r="69" ht="15.75" customHeight="1">
      <c r="A69" s="16">
        <v>2.0</v>
      </c>
      <c r="B69" s="43" t="s">
        <v>216</v>
      </c>
      <c r="C69" s="55" t="s">
        <v>298</v>
      </c>
      <c r="D69" s="28"/>
      <c r="E69" s="28"/>
      <c r="F69" s="29"/>
      <c r="G69" s="44" t="s">
        <v>266</v>
      </c>
      <c r="H69" s="28"/>
      <c r="I69" s="28"/>
      <c r="J69" s="29"/>
      <c r="K69" s="44" t="s">
        <v>45</v>
      </c>
      <c r="L69" s="28"/>
      <c r="M69" s="28"/>
      <c r="N69" s="29"/>
      <c r="O69" s="44" t="s">
        <v>220</v>
      </c>
      <c r="P69" s="28"/>
      <c r="Q69" s="29"/>
      <c r="R69" s="45"/>
      <c r="S69" s="29"/>
      <c r="T69" s="44" t="s">
        <v>221</v>
      </c>
      <c r="U69" s="29"/>
      <c r="V69" s="45"/>
      <c r="W69" s="29"/>
      <c r="X69" s="44" t="s">
        <v>285</v>
      </c>
      <c r="Y69" s="29"/>
    </row>
    <row r="70" ht="15.75" customHeight="1">
      <c r="A70" s="16">
        <v>3.0</v>
      </c>
      <c r="B70" s="43" t="s">
        <v>281</v>
      </c>
      <c r="C70" s="59" t="s">
        <v>299</v>
      </c>
      <c r="D70" s="28"/>
      <c r="E70" s="28"/>
      <c r="F70" s="29"/>
      <c r="G70" s="44" t="s">
        <v>266</v>
      </c>
      <c r="H70" s="28"/>
      <c r="I70" s="28"/>
      <c r="J70" s="29"/>
      <c r="K70" s="44" t="s">
        <v>45</v>
      </c>
      <c r="L70" s="28"/>
      <c r="M70" s="28"/>
      <c r="N70" s="29"/>
      <c r="O70" s="44" t="s">
        <v>220</v>
      </c>
      <c r="P70" s="28"/>
      <c r="Q70" s="29"/>
      <c r="R70" s="45"/>
      <c r="S70" s="29"/>
      <c r="T70" s="44" t="s">
        <v>221</v>
      </c>
      <c r="U70" s="29"/>
      <c r="V70" s="45"/>
      <c r="W70" s="29"/>
      <c r="X70" s="44" t="s">
        <v>300</v>
      </c>
      <c r="Y70" s="29"/>
    </row>
    <row r="71" ht="15.75" customHeight="1">
      <c r="A71" s="16">
        <v>4.0</v>
      </c>
      <c r="B71" s="43" t="s">
        <v>286</v>
      </c>
      <c r="C71" s="44" t="s">
        <v>301</v>
      </c>
      <c r="D71" s="28"/>
      <c r="E71" s="28"/>
      <c r="F71" s="29"/>
      <c r="G71" s="44" t="s">
        <v>67</v>
      </c>
      <c r="H71" s="28"/>
      <c r="I71" s="28"/>
      <c r="J71" s="29"/>
      <c r="K71" s="44" t="s">
        <v>132</v>
      </c>
      <c r="L71" s="28"/>
      <c r="M71" s="28"/>
      <c r="N71" s="29"/>
      <c r="O71" s="44" t="s">
        <v>220</v>
      </c>
      <c r="P71" s="28"/>
      <c r="Q71" s="29"/>
      <c r="R71" s="45"/>
      <c r="S71" s="29"/>
      <c r="T71" s="45"/>
      <c r="U71" s="29"/>
      <c r="V71" s="45"/>
      <c r="W71" s="29"/>
      <c r="X71" s="44" t="s">
        <v>302</v>
      </c>
      <c r="Y71" s="29"/>
    </row>
    <row r="72" ht="15.75" customHeight="1">
      <c r="A72" s="16">
        <v>5.0</v>
      </c>
      <c r="B72" s="43" t="s">
        <v>303</v>
      </c>
      <c r="C72" s="58" t="s">
        <v>304</v>
      </c>
      <c r="D72" s="28"/>
      <c r="E72" s="28"/>
      <c r="F72" s="29"/>
      <c r="G72" s="44" t="s">
        <v>238</v>
      </c>
      <c r="H72" s="28"/>
      <c r="I72" s="28"/>
      <c r="J72" s="29"/>
      <c r="K72" s="44" t="s">
        <v>91</v>
      </c>
      <c r="L72" s="28"/>
      <c r="M72" s="28"/>
      <c r="N72" s="29"/>
      <c r="O72" s="44" t="s">
        <v>220</v>
      </c>
      <c r="P72" s="28"/>
      <c r="Q72" s="29"/>
      <c r="R72" s="45"/>
      <c r="S72" s="29"/>
      <c r="T72" s="45"/>
      <c r="U72" s="29"/>
      <c r="V72" s="45"/>
      <c r="W72" s="29"/>
      <c r="X72" s="44" t="s">
        <v>239</v>
      </c>
      <c r="Y72" s="29"/>
    </row>
    <row r="73" ht="15.75" customHeight="1">
      <c r="A73" s="47">
        <v>6.0</v>
      </c>
      <c r="B73" s="43" t="s">
        <v>240</v>
      </c>
      <c r="C73" s="44" t="s">
        <v>305</v>
      </c>
      <c r="D73" s="28"/>
      <c r="E73" s="28"/>
      <c r="F73" s="29"/>
      <c r="G73" s="44" t="s">
        <v>225</v>
      </c>
      <c r="H73" s="28"/>
      <c r="I73" s="28"/>
      <c r="J73" s="29"/>
      <c r="K73" s="44">
        <v>20.0</v>
      </c>
      <c r="L73" s="28"/>
      <c r="M73" s="28"/>
      <c r="N73" s="29"/>
      <c r="O73" s="44" t="s">
        <v>220</v>
      </c>
      <c r="P73" s="28"/>
      <c r="Q73" s="29"/>
      <c r="R73" s="45"/>
      <c r="S73" s="29"/>
      <c r="T73" s="45"/>
      <c r="U73" s="29"/>
      <c r="V73" s="45"/>
      <c r="W73" s="29"/>
      <c r="X73" s="44" t="s">
        <v>306</v>
      </c>
      <c r="Y73" s="29"/>
    </row>
    <row r="74" ht="15.75" customHeight="1"/>
    <row r="75" ht="15.75" customHeight="1">
      <c r="A75" s="53">
        <v>7.0</v>
      </c>
      <c r="B75" s="39" t="s">
        <v>3</v>
      </c>
      <c r="C75" s="49" t="str">
        <f>B10</f>
        <v>grupo</v>
      </c>
      <c r="D75" s="28"/>
      <c r="E75" s="28"/>
      <c r="F75" s="29"/>
      <c r="G75" s="39" t="s">
        <v>4</v>
      </c>
      <c r="H75" s="28"/>
      <c r="I75" s="28"/>
      <c r="J75" s="29"/>
      <c r="K75" s="50" t="str">
        <f>F10</f>
        <v>Representa las comunidades, equipos de estudio o clubes creados dentro de la red.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9"/>
      <c r="X75" s="41" t="s">
        <v>205</v>
      </c>
      <c r="Y75" s="51"/>
    </row>
    <row r="76" ht="15.75" customHeight="1">
      <c r="A76" s="41" t="s">
        <v>2</v>
      </c>
      <c r="B76" s="41" t="s">
        <v>207</v>
      </c>
      <c r="C76" s="39" t="s">
        <v>208</v>
      </c>
      <c r="D76" s="28"/>
      <c r="E76" s="28"/>
      <c r="F76" s="29"/>
      <c r="G76" s="39" t="s">
        <v>243</v>
      </c>
      <c r="H76" s="28"/>
      <c r="I76" s="28"/>
      <c r="J76" s="29"/>
      <c r="K76" s="39" t="s">
        <v>210</v>
      </c>
      <c r="L76" s="28"/>
      <c r="M76" s="28"/>
      <c r="N76" s="29"/>
      <c r="O76" s="39" t="s">
        <v>211</v>
      </c>
      <c r="P76" s="28"/>
      <c r="Q76" s="29"/>
      <c r="R76" s="39" t="s">
        <v>212</v>
      </c>
      <c r="S76" s="29"/>
      <c r="T76" s="39" t="s">
        <v>213</v>
      </c>
      <c r="U76" s="29"/>
      <c r="V76" s="39" t="s">
        <v>214</v>
      </c>
      <c r="W76" s="29"/>
      <c r="X76" s="39" t="s">
        <v>215</v>
      </c>
      <c r="Y76" s="29"/>
    </row>
    <row r="77" ht="15.75" customHeight="1">
      <c r="A77" s="16">
        <v>1.0</v>
      </c>
      <c r="B77" s="43" t="s">
        <v>307</v>
      </c>
      <c r="C77" s="44" t="s">
        <v>308</v>
      </c>
      <c r="D77" s="28"/>
      <c r="E77" s="28"/>
      <c r="F77" s="29"/>
      <c r="G77" s="44" t="s">
        <v>246</v>
      </c>
      <c r="H77" s="28"/>
      <c r="I77" s="28"/>
      <c r="J77" s="29"/>
      <c r="K77" s="44" t="s">
        <v>45</v>
      </c>
      <c r="L77" s="28"/>
      <c r="M77" s="28"/>
      <c r="N77" s="29"/>
      <c r="O77" s="44" t="s">
        <v>220</v>
      </c>
      <c r="P77" s="28"/>
      <c r="Q77" s="29"/>
      <c r="R77" s="44" t="s">
        <v>221</v>
      </c>
      <c r="S77" s="29"/>
      <c r="T77" s="45"/>
      <c r="U77" s="29"/>
      <c r="V77" s="45"/>
      <c r="W77" s="29"/>
      <c r="X77" s="44" t="s">
        <v>309</v>
      </c>
      <c r="Y77" s="29"/>
    </row>
    <row r="78" ht="15.75" customHeight="1">
      <c r="A78" s="16">
        <v>2.0</v>
      </c>
      <c r="B78" s="43" t="s">
        <v>216</v>
      </c>
      <c r="C78" s="44" t="s">
        <v>310</v>
      </c>
      <c r="D78" s="28"/>
      <c r="E78" s="28"/>
      <c r="F78" s="29"/>
      <c r="G78" s="44" t="s">
        <v>266</v>
      </c>
      <c r="H78" s="28"/>
      <c r="I78" s="28"/>
      <c r="J78" s="29"/>
      <c r="K78" s="44" t="s">
        <v>45</v>
      </c>
      <c r="L78" s="28"/>
      <c r="M78" s="28"/>
      <c r="N78" s="29"/>
      <c r="O78" s="44" t="s">
        <v>220</v>
      </c>
      <c r="P78" s="28"/>
      <c r="Q78" s="29"/>
      <c r="R78" s="45"/>
      <c r="S78" s="29"/>
      <c r="T78" s="44" t="s">
        <v>221</v>
      </c>
      <c r="U78" s="29"/>
      <c r="V78" s="45"/>
      <c r="W78" s="29"/>
      <c r="X78" s="44" t="s">
        <v>311</v>
      </c>
      <c r="Y78" s="29"/>
    </row>
    <row r="79" ht="15.75" customHeight="1">
      <c r="A79" s="16">
        <v>3.0</v>
      </c>
      <c r="B79" s="43" t="s">
        <v>312</v>
      </c>
      <c r="C79" s="44" t="s">
        <v>313</v>
      </c>
      <c r="D79" s="28"/>
      <c r="E79" s="28"/>
      <c r="F79" s="29"/>
      <c r="G79" s="44" t="s">
        <v>225</v>
      </c>
      <c r="H79" s="28"/>
      <c r="I79" s="28"/>
      <c r="J79" s="29"/>
      <c r="K79" s="44">
        <v>100.0</v>
      </c>
      <c r="L79" s="28"/>
      <c r="M79" s="28"/>
      <c r="N79" s="29"/>
      <c r="O79" s="44" t="s">
        <v>220</v>
      </c>
      <c r="P79" s="28"/>
      <c r="Q79" s="29"/>
      <c r="R79" s="45"/>
      <c r="S79" s="29"/>
      <c r="T79" s="45"/>
      <c r="U79" s="29"/>
      <c r="V79" s="45"/>
      <c r="W79" s="29"/>
      <c r="X79" s="44" t="s">
        <v>314</v>
      </c>
      <c r="Y79" s="29"/>
    </row>
    <row r="80" ht="15.75" customHeight="1">
      <c r="A80" s="16">
        <v>4.0</v>
      </c>
      <c r="B80" s="43" t="s">
        <v>252</v>
      </c>
      <c r="C80" s="55" t="s">
        <v>315</v>
      </c>
      <c r="D80" s="28"/>
      <c r="E80" s="28"/>
      <c r="F80" s="29"/>
      <c r="G80" s="44" t="s">
        <v>67</v>
      </c>
      <c r="H80" s="28"/>
      <c r="I80" s="28"/>
      <c r="J80" s="29"/>
      <c r="K80" s="44" t="s">
        <v>132</v>
      </c>
      <c r="L80" s="28"/>
      <c r="M80" s="28"/>
      <c r="N80" s="29"/>
      <c r="O80" s="44" t="s">
        <v>254</v>
      </c>
      <c r="P80" s="28"/>
      <c r="Q80" s="29"/>
      <c r="R80" s="45"/>
      <c r="S80" s="29"/>
      <c r="T80" s="45"/>
      <c r="U80" s="29"/>
      <c r="V80" s="45"/>
      <c r="W80" s="29"/>
      <c r="X80" s="44" t="s">
        <v>316</v>
      </c>
      <c r="Y80" s="29"/>
    </row>
    <row r="81" ht="15.75" customHeight="1">
      <c r="A81" s="16">
        <v>5.0</v>
      </c>
      <c r="B81" s="43" t="s">
        <v>317</v>
      </c>
      <c r="C81" s="55" t="s">
        <v>318</v>
      </c>
      <c r="D81" s="28"/>
      <c r="E81" s="28"/>
      <c r="F81" s="29"/>
      <c r="G81" s="44" t="s">
        <v>238</v>
      </c>
      <c r="H81" s="28"/>
      <c r="I81" s="28"/>
      <c r="J81" s="29"/>
      <c r="K81" s="44" t="s">
        <v>91</v>
      </c>
      <c r="L81" s="28"/>
      <c r="M81" s="28"/>
      <c r="N81" s="29"/>
      <c r="O81" s="44" t="s">
        <v>220</v>
      </c>
      <c r="P81" s="28"/>
      <c r="Q81" s="29"/>
      <c r="R81" s="45"/>
      <c r="S81" s="29"/>
      <c r="T81" s="45"/>
      <c r="U81" s="29"/>
      <c r="V81" s="45"/>
      <c r="W81" s="29"/>
      <c r="X81" s="44" t="s">
        <v>239</v>
      </c>
      <c r="Y81" s="29"/>
    </row>
    <row r="82" ht="15.75" customHeight="1">
      <c r="A82" s="47">
        <v>6.0</v>
      </c>
      <c r="B82" s="43" t="s">
        <v>240</v>
      </c>
      <c r="C82" s="44" t="s">
        <v>319</v>
      </c>
      <c r="D82" s="28"/>
      <c r="E82" s="28"/>
      <c r="F82" s="29"/>
      <c r="G82" s="44" t="s">
        <v>225</v>
      </c>
      <c r="H82" s="28"/>
      <c r="I82" s="28"/>
      <c r="J82" s="29"/>
      <c r="K82" s="44">
        <v>20.0</v>
      </c>
      <c r="L82" s="28"/>
      <c r="M82" s="28"/>
      <c r="N82" s="29"/>
      <c r="O82" s="44" t="s">
        <v>220</v>
      </c>
      <c r="P82" s="28"/>
      <c r="Q82" s="29"/>
      <c r="R82" s="45"/>
      <c r="S82" s="29"/>
      <c r="T82" s="45"/>
      <c r="U82" s="29"/>
      <c r="V82" s="45"/>
      <c r="W82" s="29"/>
      <c r="X82" s="44" t="s">
        <v>320</v>
      </c>
      <c r="Y82" s="29"/>
    </row>
    <row r="83" ht="15.75" customHeight="1"/>
    <row r="84" ht="15.75" customHeight="1">
      <c r="A84" s="53">
        <v>8.0</v>
      </c>
      <c r="B84" s="39" t="s">
        <v>3</v>
      </c>
      <c r="C84" s="49" t="str">
        <f>B11</f>
        <v>tipo_servicio</v>
      </c>
      <c r="D84" s="28"/>
      <c r="E84" s="28"/>
      <c r="F84" s="29"/>
      <c r="G84" s="39" t="s">
        <v>4</v>
      </c>
      <c r="H84" s="28"/>
      <c r="I84" s="28"/>
      <c r="J84" s="29"/>
      <c r="K84" s="50" t="str">
        <f>F11</f>
        <v>Clasificación o categorías de los servicios que se ofertan.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9"/>
      <c r="X84" s="41" t="s">
        <v>205</v>
      </c>
      <c r="Y84" s="51"/>
    </row>
    <row r="85" ht="15.75" customHeight="1">
      <c r="A85" s="41" t="s">
        <v>2</v>
      </c>
      <c r="B85" s="41" t="s">
        <v>207</v>
      </c>
      <c r="C85" s="39" t="s">
        <v>208</v>
      </c>
      <c r="D85" s="28"/>
      <c r="E85" s="28"/>
      <c r="F85" s="29"/>
      <c r="G85" s="39" t="s">
        <v>243</v>
      </c>
      <c r="H85" s="28"/>
      <c r="I85" s="28"/>
      <c r="J85" s="29"/>
      <c r="K85" s="39" t="s">
        <v>210</v>
      </c>
      <c r="L85" s="28"/>
      <c r="M85" s="28"/>
      <c r="N85" s="29"/>
      <c r="O85" s="39" t="s">
        <v>211</v>
      </c>
      <c r="P85" s="28"/>
      <c r="Q85" s="29"/>
      <c r="R85" s="39" t="s">
        <v>212</v>
      </c>
      <c r="S85" s="29"/>
      <c r="T85" s="39" t="s">
        <v>213</v>
      </c>
      <c r="U85" s="29"/>
      <c r="V85" s="39" t="s">
        <v>214</v>
      </c>
      <c r="W85" s="29"/>
      <c r="X85" s="39" t="s">
        <v>215</v>
      </c>
      <c r="Y85" s="29"/>
    </row>
    <row r="86" ht="15.75" customHeight="1">
      <c r="A86" s="16">
        <v>1.0</v>
      </c>
      <c r="B86" s="43" t="s">
        <v>321</v>
      </c>
      <c r="C86" s="54" t="s">
        <v>322</v>
      </c>
      <c r="D86" s="28"/>
      <c r="E86" s="28"/>
      <c r="F86" s="29"/>
      <c r="G86" s="44" t="s">
        <v>246</v>
      </c>
      <c r="H86" s="28"/>
      <c r="I86" s="28"/>
      <c r="J86" s="29"/>
      <c r="K86" s="44" t="s">
        <v>45</v>
      </c>
      <c r="L86" s="28"/>
      <c r="M86" s="28"/>
      <c r="N86" s="29"/>
      <c r="O86" s="44" t="s">
        <v>220</v>
      </c>
      <c r="P86" s="28"/>
      <c r="Q86" s="29"/>
      <c r="R86" s="44" t="s">
        <v>221</v>
      </c>
      <c r="S86" s="29"/>
      <c r="T86" s="45"/>
      <c r="U86" s="29"/>
      <c r="V86" s="45"/>
      <c r="W86" s="29"/>
      <c r="X86" s="44" t="s">
        <v>309</v>
      </c>
      <c r="Y86" s="29"/>
    </row>
    <row r="87" ht="15.75" customHeight="1">
      <c r="A87" s="16">
        <v>2.0</v>
      </c>
      <c r="B87" s="65" t="s">
        <v>323</v>
      </c>
      <c r="C87" s="55" t="s">
        <v>324</v>
      </c>
      <c r="D87" s="28"/>
      <c r="E87" s="28"/>
      <c r="F87" s="29"/>
      <c r="G87" s="44" t="s">
        <v>225</v>
      </c>
      <c r="H87" s="28"/>
      <c r="I87" s="28"/>
      <c r="J87" s="29"/>
      <c r="K87" s="44">
        <v>100.0</v>
      </c>
      <c r="L87" s="28"/>
      <c r="M87" s="28"/>
      <c r="N87" s="29"/>
      <c r="O87" s="44" t="s">
        <v>220</v>
      </c>
      <c r="P87" s="28"/>
      <c r="Q87" s="29"/>
      <c r="R87" s="45"/>
      <c r="S87" s="29"/>
      <c r="T87" s="45"/>
      <c r="U87" s="29"/>
      <c r="V87" s="44" t="s">
        <v>221</v>
      </c>
      <c r="W87" s="29"/>
      <c r="X87" s="44" t="s">
        <v>325</v>
      </c>
      <c r="Y87" s="29"/>
    </row>
    <row r="88" ht="15.75" customHeight="1">
      <c r="A88" s="16">
        <v>3.0</v>
      </c>
      <c r="B88" s="43" t="s">
        <v>252</v>
      </c>
      <c r="C88" s="56" t="s">
        <v>326</v>
      </c>
      <c r="D88" s="28"/>
      <c r="E88" s="28"/>
      <c r="F88" s="29"/>
      <c r="G88" s="44" t="s">
        <v>67</v>
      </c>
      <c r="H88" s="28"/>
      <c r="I88" s="28"/>
      <c r="J88" s="29"/>
      <c r="K88" s="44" t="s">
        <v>132</v>
      </c>
      <c r="L88" s="28"/>
      <c r="M88" s="28"/>
      <c r="N88" s="29"/>
      <c r="O88" s="44" t="s">
        <v>254</v>
      </c>
      <c r="P88" s="28"/>
      <c r="Q88" s="29"/>
      <c r="R88" s="45"/>
      <c r="S88" s="29"/>
      <c r="T88" s="45"/>
      <c r="U88" s="29"/>
      <c r="V88" s="45"/>
      <c r="W88" s="29"/>
      <c r="X88" s="44" t="s">
        <v>327</v>
      </c>
      <c r="Y88" s="29"/>
    </row>
    <row r="89" ht="15.75" customHeight="1">
      <c r="A89" s="16">
        <v>4.0</v>
      </c>
      <c r="B89" s="43" t="s">
        <v>240</v>
      </c>
      <c r="C89" s="58" t="s">
        <v>328</v>
      </c>
      <c r="D89" s="28"/>
      <c r="E89" s="28"/>
      <c r="F89" s="29"/>
      <c r="G89" s="44" t="s">
        <v>225</v>
      </c>
      <c r="H89" s="28"/>
      <c r="I89" s="28"/>
      <c r="J89" s="29"/>
      <c r="K89" s="44">
        <v>20.0</v>
      </c>
      <c r="L89" s="28"/>
      <c r="M89" s="28"/>
      <c r="N89" s="29"/>
      <c r="O89" s="44" t="s">
        <v>220</v>
      </c>
      <c r="P89" s="28"/>
      <c r="Q89" s="29"/>
      <c r="R89" s="45"/>
      <c r="S89" s="29"/>
      <c r="T89" s="45"/>
      <c r="U89" s="29"/>
      <c r="V89" s="45"/>
      <c r="W89" s="29"/>
      <c r="X89" s="44" t="s">
        <v>329</v>
      </c>
      <c r="Y89" s="29"/>
    </row>
    <row r="90" ht="15.75" customHeight="1"/>
    <row r="91" ht="15.75" customHeight="1"/>
    <row r="92" ht="15.75" customHeight="1">
      <c r="A92" s="53">
        <v>9.0</v>
      </c>
      <c r="B92" s="39" t="s">
        <v>3</v>
      </c>
      <c r="C92" s="49" t="str">
        <f>B12</f>
        <v>servicio</v>
      </c>
      <c r="D92" s="28"/>
      <c r="E92" s="28"/>
      <c r="F92" s="29"/>
      <c r="G92" s="39" t="s">
        <v>4</v>
      </c>
      <c r="H92" s="28"/>
      <c r="I92" s="28"/>
      <c r="J92" s="29"/>
      <c r="K92" s="50" t="str">
        <f>F12</f>
        <v>Registra las ofertas de servicios académicos o profesionales prestados por un usuario.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9"/>
      <c r="X92" s="41" t="s">
        <v>205</v>
      </c>
      <c r="Y92" s="51"/>
    </row>
    <row r="93" ht="15.75" customHeight="1">
      <c r="A93" s="41" t="s">
        <v>2</v>
      </c>
      <c r="B93" s="41" t="s">
        <v>207</v>
      </c>
      <c r="C93" s="39" t="s">
        <v>208</v>
      </c>
      <c r="D93" s="28"/>
      <c r="E93" s="28"/>
      <c r="F93" s="29"/>
      <c r="G93" s="39" t="s">
        <v>243</v>
      </c>
      <c r="H93" s="28"/>
      <c r="I93" s="28"/>
      <c r="J93" s="29"/>
      <c r="K93" s="39" t="s">
        <v>210</v>
      </c>
      <c r="L93" s="28"/>
      <c r="M93" s="28"/>
      <c r="N93" s="29"/>
      <c r="O93" s="39" t="s">
        <v>211</v>
      </c>
      <c r="P93" s="28"/>
      <c r="Q93" s="29"/>
      <c r="R93" s="39" t="s">
        <v>212</v>
      </c>
      <c r="S93" s="29"/>
      <c r="T93" s="39" t="s">
        <v>213</v>
      </c>
      <c r="U93" s="29"/>
      <c r="V93" s="39" t="s">
        <v>214</v>
      </c>
      <c r="W93" s="29"/>
      <c r="X93" s="39" t="s">
        <v>215</v>
      </c>
      <c r="Y93" s="29"/>
    </row>
    <row r="94" ht="15.75" customHeight="1">
      <c r="A94" s="16">
        <v>1.0</v>
      </c>
      <c r="B94" s="43" t="s">
        <v>330</v>
      </c>
      <c r="C94" s="56" t="s">
        <v>331</v>
      </c>
      <c r="D94" s="28"/>
      <c r="E94" s="28"/>
      <c r="F94" s="29"/>
      <c r="G94" s="44" t="s">
        <v>246</v>
      </c>
      <c r="H94" s="28"/>
      <c r="I94" s="28"/>
      <c r="J94" s="29"/>
      <c r="K94" s="44" t="s">
        <v>45</v>
      </c>
      <c r="L94" s="28"/>
      <c r="M94" s="28"/>
      <c r="N94" s="29"/>
      <c r="O94" s="44" t="s">
        <v>220</v>
      </c>
      <c r="P94" s="28"/>
      <c r="Q94" s="29"/>
      <c r="R94" s="44" t="s">
        <v>221</v>
      </c>
      <c r="S94" s="29"/>
      <c r="T94" s="45"/>
      <c r="U94" s="29"/>
      <c r="V94" s="45"/>
      <c r="W94" s="29"/>
      <c r="X94" s="44" t="s">
        <v>248</v>
      </c>
      <c r="Y94" s="29"/>
    </row>
    <row r="95" ht="15.75" customHeight="1">
      <c r="A95" s="16">
        <v>2.0</v>
      </c>
      <c r="B95" s="43" t="s">
        <v>216</v>
      </c>
      <c r="C95" s="44" t="s">
        <v>332</v>
      </c>
      <c r="D95" s="28"/>
      <c r="E95" s="28"/>
      <c r="F95" s="29"/>
      <c r="G95" s="44" t="s">
        <v>266</v>
      </c>
      <c r="H95" s="28"/>
      <c r="I95" s="28"/>
      <c r="J95" s="29"/>
      <c r="K95" s="44" t="s">
        <v>45</v>
      </c>
      <c r="L95" s="28"/>
      <c r="M95" s="28"/>
      <c r="N95" s="29"/>
      <c r="O95" s="44" t="s">
        <v>220</v>
      </c>
      <c r="P95" s="28"/>
      <c r="Q95" s="29"/>
      <c r="R95" s="45"/>
      <c r="S95" s="29"/>
      <c r="T95" s="44" t="s">
        <v>221</v>
      </c>
      <c r="U95" s="29"/>
      <c r="V95" s="45"/>
      <c r="W95" s="29"/>
      <c r="X95" s="44" t="s">
        <v>285</v>
      </c>
      <c r="Y95" s="29"/>
    </row>
    <row r="96" ht="15.75" customHeight="1">
      <c r="A96" s="16">
        <v>3.0</v>
      </c>
      <c r="B96" s="43" t="s">
        <v>321</v>
      </c>
      <c r="C96" s="56" t="s">
        <v>333</v>
      </c>
      <c r="D96" s="28"/>
      <c r="E96" s="28"/>
      <c r="F96" s="29"/>
      <c r="G96" s="44" t="s">
        <v>266</v>
      </c>
      <c r="H96" s="28"/>
      <c r="I96" s="28"/>
      <c r="J96" s="29"/>
      <c r="K96" s="44" t="s">
        <v>45</v>
      </c>
      <c r="L96" s="28"/>
      <c r="M96" s="28"/>
      <c r="N96" s="29"/>
      <c r="O96" s="44" t="s">
        <v>220</v>
      </c>
      <c r="P96" s="28"/>
      <c r="Q96" s="29"/>
      <c r="R96" s="45"/>
      <c r="S96" s="29"/>
      <c r="T96" s="44" t="s">
        <v>221</v>
      </c>
      <c r="U96" s="29"/>
      <c r="V96" s="45"/>
      <c r="W96" s="29"/>
      <c r="X96" s="44" t="s">
        <v>334</v>
      </c>
      <c r="Y96" s="29"/>
    </row>
    <row r="97" ht="15.75" customHeight="1">
      <c r="A97" s="16">
        <v>4.0</v>
      </c>
      <c r="B97" s="43" t="s">
        <v>223</v>
      </c>
      <c r="C97" s="44" t="s">
        <v>335</v>
      </c>
      <c r="D97" s="28"/>
      <c r="E97" s="28"/>
      <c r="F97" s="29"/>
      <c r="G97" s="44" t="s">
        <v>225</v>
      </c>
      <c r="H97" s="28"/>
      <c r="I97" s="28"/>
      <c r="J97" s="29"/>
      <c r="K97" s="44">
        <v>150.0</v>
      </c>
      <c r="L97" s="28"/>
      <c r="M97" s="28"/>
      <c r="N97" s="29"/>
      <c r="O97" s="44" t="s">
        <v>220</v>
      </c>
      <c r="P97" s="28"/>
      <c r="Q97" s="29"/>
      <c r="R97" s="45"/>
      <c r="S97" s="29"/>
      <c r="T97" s="45"/>
      <c r="U97" s="29"/>
      <c r="V97" s="45"/>
      <c r="W97" s="29"/>
      <c r="X97" s="44" t="s">
        <v>336</v>
      </c>
      <c r="Y97" s="29"/>
    </row>
    <row r="98" ht="15.75" customHeight="1">
      <c r="A98" s="16">
        <v>5.0</v>
      </c>
      <c r="B98" s="43" t="s">
        <v>252</v>
      </c>
      <c r="C98" s="55" t="s">
        <v>337</v>
      </c>
      <c r="D98" s="28"/>
      <c r="E98" s="28"/>
      <c r="F98" s="29"/>
      <c r="G98" s="44" t="s">
        <v>67</v>
      </c>
      <c r="H98" s="28"/>
      <c r="I98" s="28"/>
      <c r="J98" s="29"/>
      <c r="K98" s="44" t="s">
        <v>132</v>
      </c>
      <c r="L98" s="28"/>
      <c r="M98" s="28"/>
      <c r="N98" s="29"/>
      <c r="O98" s="44" t="s">
        <v>220</v>
      </c>
      <c r="P98" s="28"/>
      <c r="Q98" s="29"/>
      <c r="R98" s="45"/>
      <c r="S98" s="29"/>
      <c r="T98" s="45"/>
      <c r="U98" s="29"/>
      <c r="V98" s="45"/>
      <c r="W98" s="29"/>
      <c r="X98" s="44" t="s">
        <v>338</v>
      </c>
      <c r="Y98" s="29"/>
    </row>
    <row r="99" ht="15.75" customHeight="1">
      <c r="A99" s="47">
        <v>6.0</v>
      </c>
      <c r="B99" s="43" t="s">
        <v>339</v>
      </c>
      <c r="C99" s="44" t="s">
        <v>340</v>
      </c>
      <c r="D99" s="28"/>
      <c r="E99" s="28"/>
      <c r="F99" s="29"/>
      <c r="G99" s="44" t="s">
        <v>341</v>
      </c>
      <c r="H99" s="28"/>
      <c r="I99" s="28"/>
      <c r="J99" s="29"/>
      <c r="K99" s="44">
        <v>10.2</v>
      </c>
      <c r="L99" s="28"/>
      <c r="M99" s="28"/>
      <c r="N99" s="29"/>
      <c r="O99" s="44" t="s">
        <v>220</v>
      </c>
      <c r="P99" s="28"/>
      <c r="Q99" s="29"/>
      <c r="R99" s="45"/>
      <c r="S99" s="29"/>
      <c r="T99" s="45"/>
      <c r="U99" s="29"/>
      <c r="V99" s="45"/>
      <c r="W99" s="29"/>
      <c r="X99" s="44" t="s">
        <v>342</v>
      </c>
      <c r="Y99" s="29"/>
    </row>
    <row r="100" ht="15.75" customHeight="1">
      <c r="A100" s="48">
        <v>7.0</v>
      </c>
      <c r="B100" s="43" t="s">
        <v>343</v>
      </c>
      <c r="C100" s="58" t="s">
        <v>344</v>
      </c>
      <c r="D100" s="28"/>
      <c r="E100" s="28"/>
      <c r="F100" s="29"/>
      <c r="G100" s="44" t="s">
        <v>225</v>
      </c>
      <c r="H100" s="28"/>
      <c r="I100" s="28"/>
      <c r="J100" s="29"/>
      <c r="K100" s="44">
        <v>50.0</v>
      </c>
      <c r="L100" s="28"/>
      <c r="M100" s="28"/>
      <c r="N100" s="29"/>
      <c r="O100" s="44" t="s">
        <v>254</v>
      </c>
      <c r="P100" s="28"/>
      <c r="Q100" s="29"/>
      <c r="R100" s="45"/>
      <c r="S100" s="29"/>
      <c r="T100" s="45"/>
      <c r="U100" s="29"/>
      <c r="V100" s="45"/>
      <c r="W100" s="29"/>
      <c r="X100" s="44" t="s">
        <v>345</v>
      </c>
      <c r="Y100" s="29"/>
    </row>
    <row r="101" ht="15.75" customHeight="1"/>
    <row r="102" ht="15.75" customHeight="1">
      <c r="A102" s="53">
        <v>10.0</v>
      </c>
      <c r="B102" s="39" t="s">
        <v>3</v>
      </c>
      <c r="C102" s="49" t="str">
        <f>B13</f>
        <v>tipo_producto</v>
      </c>
      <c r="D102" s="28"/>
      <c r="E102" s="28"/>
      <c r="F102" s="29"/>
      <c r="G102" s="39" t="s">
        <v>4</v>
      </c>
      <c r="H102" s="28"/>
      <c r="I102" s="28"/>
      <c r="J102" s="29"/>
      <c r="K102" s="50" t="str">
        <f>F13</f>
        <v>Categorías para clasificar los productos ofrecidos en venta.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9"/>
      <c r="X102" s="41" t="s">
        <v>205</v>
      </c>
      <c r="Y102" s="51"/>
    </row>
    <row r="103" ht="15.75" customHeight="1">
      <c r="A103" s="41" t="s">
        <v>2</v>
      </c>
      <c r="B103" s="41" t="s">
        <v>207</v>
      </c>
      <c r="C103" s="39" t="s">
        <v>208</v>
      </c>
      <c r="D103" s="28"/>
      <c r="E103" s="28"/>
      <c r="F103" s="29"/>
      <c r="G103" s="39" t="s">
        <v>243</v>
      </c>
      <c r="H103" s="28"/>
      <c r="I103" s="28"/>
      <c r="J103" s="29"/>
      <c r="K103" s="39" t="s">
        <v>210</v>
      </c>
      <c r="L103" s="28"/>
      <c r="M103" s="28"/>
      <c r="N103" s="29"/>
      <c r="O103" s="39" t="s">
        <v>211</v>
      </c>
      <c r="P103" s="28"/>
      <c r="Q103" s="29"/>
      <c r="R103" s="39" t="s">
        <v>212</v>
      </c>
      <c r="S103" s="29"/>
      <c r="T103" s="39" t="s">
        <v>213</v>
      </c>
      <c r="U103" s="29"/>
      <c r="V103" s="39" t="s">
        <v>214</v>
      </c>
      <c r="W103" s="29"/>
      <c r="X103" s="39" t="s">
        <v>215</v>
      </c>
      <c r="Y103" s="29"/>
    </row>
    <row r="104" ht="15.75" customHeight="1">
      <c r="A104" s="16">
        <v>1.0</v>
      </c>
      <c r="B104" s="43" t="s">
        <v>346</v>
      </c>
      <c r="C104" s="54" t="s">
        <v>347</v>
      </c>
      <c r="D104" s="28"/>
      <c r="E104" s="28"/>
      <c r="F104" s="29"/>
      <c r="G104" s="44" t="s">
        <v>246</v>
      </c>
      <c r="H104" s="28"/>
      <c r="I104" s="28"/>
      <c r="J104" s="29"/>
      <c r="K104" s="44" t="s">
        <v>45</v>
      </c>
      <c r="L104" s="28"/>
      <c r="M104" s="28"/>
      <c r="N104" s="29"/>
      <c r="O104" s="44" t="s">
        <v>220</v>
      </c>
      <c r="P104" s="28"/>
      <c r="Q104" s="29"/>
      <c r="R104" s="44" t="s">
        <v>221</v>
      </c>
      <c r="S104" s="29"/>
      <c r="T104" s="45"/>
      <c r="U104" s="29"/>
      <c r="V104" s="45"/>
      <c r="W104" s="29"/>
      <c r="X104" s="44" t="s">
        <v>248</v>
      </c>
      <c r="Y104" s="29"/>
    </row>
    <row r="105" ht="15.75" customHeight="1">
      <c r="A105" s="16">
        <v>2.0</v>
      </c>
      <c r="B105" s="65" t="s">
        <v>348</v>
      </c>
      <c r="C105" s="54" t="s">
        <v>349</v>
      </c>
      <c r="D105" s="28"/>
      <c r="E105" s="28"/>
      <c r="F105" s="29"/>
      <c r="G105" s="44" t="s">
        <v>225</v>
      </c>
      <c r="H105" s="28"/>
      <c r="I105" s="28"/>
      <c r="J105" s="29"/>
      <c r="K105" s="44">
        <v>100.0</v>
      </c>
      <c r="L105" s="28"/>
      <c r="M105" s="28"/>
      <c r="N105" s="29"/>
      <c r="O105" s="44" t="s">
        <v>220</v>
      </c>
      <c r="P105" s="28"/>
      <c r="Q105" s="29"/>
      <c r="R105" s="45"/>
      <c r="S105" s="29"/>
      <c r="T105" s="45"/>
      <c r="U105" s="29"/>
      <c r="V105" s="44" t="s">
        <v>221</v>
      </c>
      <c r="W105" s="29"/>
      <c r="X105" s="44" t="s">
        <v>350</v>
      </c>
      <c r="Y105" s="29"/>
    </row>
    <row r="106" ht="15.75" customHeight="1">
      <c r="A106" s="16">
        <v>3.0</v>
      </c>
      <c r="B106" s="43" t="s">
        <v>252</v>
      </c>
      <c r="C106" s="56" t="s">
        <v>351</v>
      </c>
      <c r="D106" s="28"/>
      <c r="E106" s="28"/>
      <c r="F106" s="29"/>
      <c r="G106" s="44" t="s">
        <v>67</v>
      </c>
      <c r="H106" s="28"/>
      <c r="I106" s="28"/>
      <c r="J106" s="29"/>
      <c r="K106" s="44" t="s">
        <v>132</v>
      </c>
      <c r="L106" s="28"/>
      <c r="M106" s="28"/>
      <c r="N106" s="29"/>
      <c r="O106" s="44" t="s">
        <v>254</v>
      </c>
      <c r="P106" s="28"/>
      <c r="Q106" s="29"/>
      <c r="R106" s="45"/>
      <c r="S106" s="29"/>
      <c r="T106" s="45"/>
      <c r="U106" s="29"/>
      <c r="V106" s="45"/>
      <c r="W106" s="29"/>
      <c r="X106" s="44" t="s">
        <v>352</v>
      </c>
      <c r="Y106" s="29"/>
    </row>
    <row r="107" ht="15.75" customHeight="1">
      <c r="A107" s="16">
        <v>4.0</v>
      </c>
      <c r="B107" s="43" t="s">
        <v>240</v>
      </c>
      <c r="C107" s="58" t="s">
        <v>353</v>
      </c>
      <c r="D107" s="28"/>
      <c r="E107" s="28"/>
      <c r="F107" s="29"/>
      <c r="G107" s="44" t="s">
        <v>225</v>
      </c>
      <c r="H107" s="28"/>
      <c r="I107" s="28"/>
      <c r="J107" s="29"/>
      <c r="K107" s="44">
        <v>20.0</v>
      </c>
      <c r="L107" s="28"/>
      <c r="M107" s="28"/>
      <c r="N107" s="29"/>
      <c r="O107" s="44" t="s">
        <v>220</v>
      </c>
      <c r="P107" s="28"/>
      <c r="Q107" s="29"/>
      <c r="R107" s="45"/>
      <c r="S107" s="29"/>
      <c r="T107" s="45"/>
      <c r="U107" s="29"/>
      <c r="V107" s="45"/>
      <c r="W107" s="29"/>
      <c r="X107" s="46" t="s">
        <v>329</v>
      </c>
      <c r="Y107" s="57"/>
    </row>
    <row r="108" ht="15.75" customHeight="1"/>
    <row r="109" ht="15.75" customHeight="1"/>
    <row r="110" ht="15.75" customHeight="1">
      <c r="A110" s="53">
        <v>11.0</v>
      </c>
      <c r="B110" s="39" t="s">
        <v>3</v>
      </c>
      <c r="C110" s="49" t="str">
        <f>B14</f>
        <v>producto</v>
      </c>
      <c r="D110" s="28"/>
      <c r="E110" s="28"/>
      <c r="F110" s="29"/>
      <c r="G110" s="39" t="s">
        <v>4</v>
      </c>
      <c r="H110" s="28"/>
      <c r="I110" s="28"/>
      <c r="J110" s="29"/>
      <c r="K110" s="50" t="str">
        <f>F14</f>
        <v>Almacena los productos publicados por los usuarios para venta o intercambio.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9"/>
      <c r="X110" s="41" t="s">
        <v>205</v>
      </c>
      <c r="Y110" s="51"/>
    </row>
    <row r="111" ht="15.75" customHeight="1">
      <c r="A111" s="41" t="s">
        <v>2</v>
      </c>
      <c r="B111" s="41" t="s">
        <v>207</v>
      </c>
      <c r="C111" s="39" t="s">
        <v>208</v>
      </c>
      <c r="D111" s="28"/>
      <c r="E111" s="28"/>
      <c r="F111" s="29"/>
      <c r="G111" s="39" t="s">
        <v>243</v>
      </c>
      <c r="H111" s="28"/>
      <c r="I111" s="28"/>
      <c r="J111" s="29"/>
      <c r="K111" s="39" t="s">
        <v>210</v>
      </c>
      <c r="L111" s="28"/>
      <c r="M111" s="28"/>
      <c r="N111" s="29"/>
      <c r="O111" s="39" t="s">
        <v>211</v>
      </c>
      <c r="P111" s="28"/>
      <c r="Q111" s="29"/>
      <c r="R111" s="39" t="s">
        <v>212</v>
      </c>
      <c r="S111" s="29"/>
      <c r="T111" s="39" t="s">
        <v>213</v>
      </c>
      <c r="U111" s="29"/>
      <c r="V111" s="39" t="s">
        <v>214</v>
      </c>
      <c r="W111" s="29"/>
      <c r="X111" s="39" t="s">
        <v>215</v>
      </c>
      <c r="Y111" s="29"/>
    </row>
    <row r="112" ht="15.75" customHeight="1">
      <c r="A112" s="16">
        <v>1.0</v>
      </c>
      <c r="B112" s="43" t="s">
        <v>354</v>
      </c>
      <c r="C112" s="56" t="s">
        <v>355</v>
      </c>
      <c r="D112" s="28"/>
      <c r="E112" s="28"/>
      <c r="F112" s="29"/>
      <c r="G112" s="44" t="s">
        <v>246</v>
      </c>
      <c r="H112" s="28"/>
      <c r="I112" s="28"/>
      <c r="J112" s="29"/>
      <c r="K112" s="44" t="s">
        <v>45</v>
      </c>
      <c r="L112" s="28"/>
      <c r="M112" s="28"/>
      <c r="N112" s="29"/>
      <c r="O112" s="44" t="s">
        <v>220</v>
      </c>
      <c r="P112" s="28"/>
      <c r="Q112" s="29"/>
      <c r="R112" s="44" t="s">
        <v>221</v>
      </c>
      <c r="S112" s="29"/>
      <c r="T112" s="45"/>
      <c r="U112" s="29"/>
      <c r="V112" s="45"/>
      <c r="W112" s="29"/>
      <c r="X112" s="44" t="s">
        <v>248</v>
      </c>
      <c r="Y112" s="29"/>
    </row>
    <row r="113" ht="15.75" customHeight="1">
      <c r="A113" s="16">
        <v>2.0</v>
      </c>
      <c r="B113" s="43" t="s">
        <v>216</v>
      </c>
      <c r="C113" s="56" t="s">
        <v>356</v>
      </c>
      <c r="D113" s="28"/>
      <c r="E113" s="28"/>
      <c r="F113" s="29"/>
      <c r="G113" s="44" t="s">
        <v>266</v>
      </c>
      <c r="H113" s="28"/>
      <c r="I113" s="28"/>
      <c r="J113" s="29"/>
      <c r="K113" s="44" t="s">
        <v>45</v>
      </c>
      <c r="L113" s="28"/>
      <c r="M113" s="28"/>
      <c r="N113" s="29"/>
      <c r="O113" s="44" t="s">
        <v>220</v>
      </c>
      <c r="P113" s="28"/>
      <c r="Q113" s="29"/>
      <c r="R113" s="45"/>
      <c r="S113" s="29"/>
      <c r="T113" s="44" t="s">
        <v>221</v>
      </c>
      <c r="U113" s="29"/>
      <c r="V113" s="45"/>
      <c r="W113" s="29"/>
      <c r="X113" s="44" t="s">
        <v>357</v>
      </c>
      <c r="Y113" s="29"/>
    </row>
    <row r="114" ht="15.75" customHeight="1">
      <c r="A114" s="16">
        <v>3.0</v>
      </c>
      <c r="B114" s="43" t="s">
        <v>346</v>
      </c>
      <c r="C114" s="55" t="s">
        <v>358</v>
      </c>
      <c r="D114" s="28"/>
      <c r="E114" s="28"/>
      <c r="F114" s="29"/>
      <c r="G114" s="44" t="s">
        <v>266</v>
      </c>
      <c r="H114" s="28"/>
      <c r="I114" s="28"/>
      <c r="J114" s="29"/>
      <c r="K114" s="44" t="s">
        <v>45</v>
      </c>
      <c r="L114" s="28"/>
      <c r="M114" s="28"/>
      <c r="N114" s="29"/>
      <c r="O114" s="44" t="s">
        <v>220</v>
      </c>
      <c r="P114" s="28"/>
      <c r="Q114" s="29"/>
      <c r="R114" s="45"/>
      <c r="S114" s="29"/>
      <c r="T114" s="44" t="s">
        <v>221</v>
      </c>
      <c r="U114" s="29"/>
      <c r="V114" s="45"/>
      <c r="W114" s="29"/>
      <c r="X114" s="44" t="s">
        <v>359</v>
      </c>
      <c r="Y114" s="29"/>
    </row>
    <row r="115" ht="15.75" customHeight="1">
      <c r="A115" s="16">
        <v>4.0</v>
      </c>
      <c r="B115" s="43" t="s">
        <v>360</v>
      </c>
      <c r="C115" s="44" t="s">
        <v>361</v>
      </c>
      <c r="D115" s="28"/>
      <c r="E115" s="28"/>
      <c r="F115" s="29"/>
      <c r="G115" s="44" t="s">
        <v>225</v>
      </c>
      <c r="H115" s="28"/>
      <c r="I115" s="28"/>
      <c r="J115" s="29"/>
      <c r="K115" s="44">
        <v>150.0</v>
      </c>
      <c r="L115" s="28"/>
      <c r="M115" s="28"/>
      <c r="N115" s="29"/>
      <c r="O115" s="44" t="s">
        <v>220</v>
      </c>
      <c r="P115" s="28"/>
      <c r="Q115" s="29"/>
      <c r="R115" s="45"/>
      <c r="S115" s="29"/>
      <c r="T115" s="45"/>
      <c r="U115" s="29"/>
      <c r="V115" s="45"/>
      <c r="W115" s="29"/>
      <c r="X115" s="44" t="s">
        <v>362</v>
      </c>
      <c r="Y115" s="29"/>
    </row>
    <row r="116" ht="15.75" customHeight="1">
      <c r="A116" s="16">
        <v>5.0</v>
      </c>
      <c r="B116" s="43" t="s">
        <v>252</v>
      </c>
      <c r="C116" s="55" t="s">
        <v>363</v>
      </c>
      <c r="D116" s="28"/>
      <c r="E116" s="28"/>
      <c r="F116" s="29"/>
      <c r="G116" s="44" t="s">
        <v>67</v>
      </c>
      <c r="H116" s="28"/>
      <c r="I116" s="28"/>
      <c r="J116" s="29"/>
      <c r="K116" s="44" t="s">
        <v>132</v>
      </c>
      <c r="L116" s="28"/>
      <c r="M116" s="28"/>
      <c r="N116" s="29"/>
      <c r="O116" s="44" t="s">
        <v>254</v>
      </c>
      <c r="P116" s="28"/>
      <c r="Q116" s="29"/>
      <c r="R116" s="45"/>
      <c r="S116" s="29"/>
      <c r="T116" s="45"/>
      <c r="U116" s="29"/>
      <c r="V116" s="45"/>
      <c r="W116" s="29"/>
      <c r="X116" s="44" t="s">
        <v>364</v>
      </c>
      <c r="Y116" s="29"/>
    </row>
    <row r="117" ht="15.75" customHeight="1">
      <c r="A117" s="47">
        <v>6.0</v>
      </c>
      <c r="B117" s="43" t="s">
        <v>339</v>
      </c>
      <c r="C117" s="44" t="s">
        <v>365</v>
      </c>
      <c r="D117" s="28"/>
      <c r="E117" s="28"/>
      <c r="F117" s="29"/>
      <c r="G117" s="44" t="s">
        <v>341</v>
      </c>
      <c r="H117" s="28"/>
      <c r="I117" s="28"/>
      <c r="J117" s="29"/>
      <c r="K117" s="44">
        <v>10.1</v>
      </c>
      <c r="L117" s="28"/>
      <c r="M117" s="28"/>
      <c r="N117" s="29"/>
      <c r="O117" s="44" t="s">
        <v>220</v>
      </c>
      <c r="P117" s="28"/>
      <c r="Q117" s="29"/>
      <c r="R117" s="45"/>
      <c r="S117" s="29"/>
      <c r="T117" s="45"/>
      <c r="U117" s="29"/>
      <c r="V117" s="45"/>
      <c r="W117" s="29"/>
      <c r="X117" s="44" t="s">
        <v>366</v>
      </c>
      <c r="Y117" s="29"/>
    </row>
    <row r="118" ht="15.75" customHeight="1">
      <c r="A118" s="48">
        <v>7.0</v>
      </c>
      <c r="B118" s="43" t="s">
        <v>240</v>
      </c>
      <c r="C118" s="59" t="s">
        <v>367</v>
      </c>
      <c r="D118" s="28"/>
      <c r="E118" s="28"/>
      <c r="F118" s="29"/>
      <c r="G118" s="44" t="s">
        <v>225</v>
      </c>
      <c r="H118" s="28"/>
      <c r="I118" s="28"/>
      <c r="J118" s="29"/>
      <c r="K118" s="44">
        <v>20.0</v>
      </c>
      <c r="L118" s="28"/>
      <c r="M118" s="28"/>
      <c r="N118" s="29"/>
      <c r="O118" s="44" t="s">
        <v>220</v>
      </c>
      <c r="P118" s="28"/>
      <c r="Q118" s="29"/>
      <c r="R118" s="45"/>
      <c r="S118" s="29"/>
      <c r="T118" s="45"/>
      <c r="U118" s="29"/>
      <c r="V118" s="45"/>
      <c r="W118" s="29"/>
      <c r="X118" s="44" t="s">
        <v>368</v>
      </c>
      <c r="Y118" s="29"/>
    </row>
    <row r="119" ht="15.75" customHeight="1"/>
    <row r="120" ht="15.75" customHeight="1">
      <c r="A120" s="53">
        <v>12.0</v>
      </c>
      <c r="B120" s="39" t="s">
        <v>3</v>
      </c>
      <c r="C120" s="49" t="str">
        <f>B15</f>
        <v>tipo_evento</v>
      </c>
      <c r="D120" s="28"/>
      <c r="E120" s="28"/>
      <c r="F120" s="29"/>
      <c r="G120" s="39" t="s">
        <v>4</v>
      </c>
      <c r="H120" s="28"/>
      <c r="I120" s="28"/>
      <c r="J120" s="29"/>
      <c r="K120" s="50" t="str">
        <f>F15</f>
        <v>Categorización general de las actividades o eventos.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9"/>
      <c r="X120" s="41" t="s">
        <v>205</v>
      </c>
      <c r="Y120" s="51"/>
    </row>
    <row r="121" ht="15.75" customHeight="1">
      <c r="A121" s="41" t="s">
        <v>2</v>
      </c>
      <c r="B121" s="41" t="s">
        <v>207</v>
      </c>
      <c r="C121" s="39" t="s">
        <v>208</v>
      </c>
      <c r="D121" s="28"/>
      <c r="E121" s="28"/>
      <c r="F121" s="29"/>
      <c r="G121" s="39" t="s">
        <v>243</v>
      </c>
      <c r="H121" s="28"/>
      <c r="I121" s="28"/>
      <c r="J121" s="29"/>
      <c r="K121" s="39" t="s">
        <v>210</v>
      </c>
      <c r="L121" s="28"/>
      <c r="M121" s="28"/>
      <c r="N121" s="29"/>
      <c r="O121" s="39" t="s">
        <v>211</v>
      </c>
      <c r="P121" s="28"/>
      <c r="Q121" s="29"/>
      <c r="R121" s="39" t="s">
        <v>212</v>
      </c>
      <c r="S121" s="29"/>
      <c r="T121" s="39" t="s">
        <v>213</v>
      </c>
      <c r="U121" s="29"/>
      <c r="V121" s="39" t="s">
        <v>214</v>
      </c>
      <c r="W121" s="29"/>
      <c r="X121" s="39" t="s">
        <v>215</v>
      </c>
      <c r="Y121" s="29"/>
    </row>
    <row r="122" ht="15.75" customHeight="1">
      <c r="A122" s="16">
        <v>1.0</v>
      </c>
      <c r="B122" s="43" t="s">
        <v>369</v>
      </c>
      <c r="C122" s="54" t="s">
        <v>370</v>
      </c>
      <c r="D122" s="28"/>
      <c r="E122" s="28"/>
      <c r="F122" s="29"/>
      <c r="G122" s="44" t="s">
        <v>246</v>
      </c>
      <c r="H122" s="28"/>
      <c r="I122" s="28"/>
      <c r="J122" s="29"/>
      <c r="K122" s="44" t="s">
        <v>45</v>
      </c>
      <c r="L122" s="28"/>
      <c r="M122" s="28"/>
      <c r="N122" s="29"/>
      <c r="O122" s="44" t="s">
        <v>220</v>
      </c>
      <c r="P122" s="28"/>
      <c r="Q122" s="29"/>
      <c r="R122" s="44" t="s">
        <v>221</v>
      </c>
      <c r="S122" s="29"/>
      <c r="T122" s="45"/>
      <c r="U122" s="29"/>
      <c r="V122" s="45"/>
      <c r="W122" s="29"/>
      <c r="X122" s="44" t="s">
        <v>248</v>
      </c>
      <c r="Y122" s="29"/>
    </row>
    <row r="123" ht="15.75" customHeight="1">
      <c r="A123" s="16">
        <v>2.0</v>
      </c>
      <c r="B123" s="65" t="s">
        <v>371</v>
      </c>
      <c r="C123" s="55" t="s">
        <v>372</v>
      </c>
      <c r="D123" s="28"/>
      <c r="E123" s="28"/>
      <c r="F123" s="29"/>
      <c r="G123" s="44" t="s">
        <v>225</v>
      </c>
      <c r="H123" s="28"/>
      <c r="I123" s="28"/>
      <c r="J123" s="29"/>
      <c r="K123" s="44">
        <v>100.0</v>
      </c>
      <c r="L123" s="28"/>
      <c r="M123" s="28"/>
      <c r="N123" s="29"/>
      <c r="O123" s="44" t="s">
        <v>220</v>
      </c>
      <c r="P123" s="28"/>
      <c r="Q123" s="29"/>
      <c r="R123" s="45"/>
      <c r="S123" s="29"/>
      <c r="T123" s="45"/>
      <c r="U123" s="29"/>
      <c r="V123" s="44" t="s">
        <v>221</v>
      </c>
      <c r="W123" s="29"/>
      <c r="X123" s="44" t="s">
        <v>373</v>
      </c>
      <c r="Y123" s="29"/>
    </row>
    <row r="124" ht="15.75" customHeight="1">
      <c r="A124" s="16">
        <v>3.0</v>
      </c>
      <c r="B124" s="43" t="s">
        <v>252</v>
      </c>
      <c r="C124" s="56" t="s">
        <v>374</v>
      </c>
      <c r="D124" s="28"/>
      <c r="E124" s="28"/>
      <c r="F124" s="29"/>
      <c r="G124" s="44" t="s">
        <v>67</v>
      </c>
      <c r="H124" s="28"/>
      <c r="I124" s="28"/>
      <c r="J124" s="29"/>
      <c r="K124" s="44" t="s">
        <v>132</v>
      </c>
      <c r="L124" s="28"/>
      <c r="M124" s="28"/>
      <c r="N124" s="29"/>
      <c r="O124" s="44" t="s">
        <v>254</v>
      </c>
      <c r="P124" s="28"/>
      <c r="Q124" s="29"/>
      <c r="R124" s="45"/>
      <c r="S124" s="29"/>
      <c r="T124" s="45"/>
      <c r="U124" s="29"/>
      <c r="V124" s="45"/>
      <c r="W124" s="29"/>
      <c r="X124" s="44" t="s">
        <v>375</v>
      </c>
      <c r="Y124" s="29"/>
    </row>
    <row r="125" ht="15.75" customHeight="1">
      <c r="A125" s="16">
        <v>4.0</v>
      </c>
      <c r="B125" s="43" t="s">
        <v>240</v>
      </c>
      <c r="C125" s="58" t="s">
        <v>376</v>
      </c>
      <c r="D125" s="28"/>
      <c r="E125" s="28"/>
      <c r="F125" s="29"/>
      <c r="G125" s="44" t="s">
        <v>225</v>
      </c>
      <c r="H125" s="28"/>
      <c r="I125" s="28"/>
      <c r="J125" s="29"/>
      <c r="K125" s="44">
        <v>20.0</v>
      </c>
      <c r="L125" s="28"/>
      <c r="M125" s="28"/>
      <c r="N125" s="29"/>
      <c r="O125" s="44" t="s">
        <v>220</v>
      </c>
      <c r="P125" s="28"/>
      <c r="Q125" s="29"/>
      <c r="R125" s="45"/>
      <c r="S125" s="29"/>
      <c r="T125" s="45"/>
      <c r="U125" s="29"/>
      <c r="V125" s="45"/>
      <c r="W125" s="29"/>
      <c r="X125" s="44" t="s">
        <v>329</v>
      </c>
      <c r="Y125" s="29"/>
    </row>
    <row r="126" ht="15.75" customHeight="1"/>
    <row r="127" ht="15.75" customHeight="1">
      <c r="A127" s="53">
        <v>13.0</v>
      </c>
      <c r="B127" s="39" t="s">
        <v>3</v>
      </c>
      <c r="C127" s="49" t="str">
        <f>B16</f>
        <v>evento</v>
      </c>
      <c r="D127" s="28"/>
      <c r="E127" s="28"/>
      <c r="F127" s="29"/>
      <c r="G127" s="39" t="s">
        <v>4</v>
      </c>
      <c r="H127" s="28"/>
      <c r="I127" s="28"/>
      <c r="J127" s="29"/>
      <c r="K127" s="50" t="str">
        <f>F16</f>
        <v>Almacena las actividades u organizadas por un usuario dentro de la institución.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9"/>
      <c r="X127" s="41" t="s">
        <v>205</v>
      </c>
      <c r="Y127" s="51"/>
    </row>
    <row r="128" ht="15.75" customHeight="1">
      <c r="A128" s="41" t="s">
        <v>2</v>
      </c>
      <c r="B128" s="41" t="s">
        <v>207</v>
      </c>
      <c r="C128" s="39" t="s">
        <v>208</v>
      </c>
      <c r="D128" s="28"/>
      <c r="E128" s="28"/>
      <c r="F128" s="29"/>
      <c r="G128" s="39" t="s">
        <v>243</v>
      </c>
      <c r="H128" s="28"/>
      <c r="I128" s="28"/>
      <c r="J128" s="29"/>
      <c r="K128" s="39" t="s">
        <v>210</v>
      </c>
      <c r="L128" s="28"/>
      <c r="M128" s="28"/>
      <c r="N128" s="29"/>
      <c r="O128" s="39" t="s">
        <v>211</v>
      </c>
      <c r="P128" s="28"/>
      <c r="Q128" s="29"/>
      <c r="R128" s="39" t="s">
        <v>212</v>
      </c>
      <c r="S128" s="29"/>
      <c r="T128" s="39" t="s">
        <v>213</v>
      </c>
      <c r="U128" s="29"/>
      <c r="V128" s="39" t="s">
        <v>214</v>
      </c>
      <c r="W128" s="29"/>
      <c r="X128" s="39" t="s">
        <v>215</v>
      </c>
      <c r="Y128" s="29"/>
    </row>
    <row r="129" ht="15.75" customHeight="1">
      <c r="A129" s="16">
        <v>1.0</v>
      </c>
      <c r="B129" s="43" t="s">
        <v>377</v>
      </c>
      <c r="C129" s="44" t="s">
        <v>378</v>
      </c>
      <c r="D129" s="28"/>
      <c r="E129" s="28"/>
      <c r="F129" s="29"/>
      <c r="G129" s="44" t="s">
        <v>246</v>
      </c>
      <c r="H129" s="28"/>
      <c r="I129" s="28"/>
      <c r="J129" s="29"/>
      <c r="K129" s="44" t="s">
        <v>45</v>
      </c>
      <c r="L129" s="28"/>
      <c r="M129" s="28"/>
      <c r="N129" s="29"/>
      <c r="O129" s="44" t="s">
        <v>220</v>
      </c>
      <c r="P129" s="28"/>
      <c r="Q129" s="29"/>
      <c r="R129" s="44" t="s">
        <v>221</v>
      </c>
      <c r="S129" s="29"/>
      <c r="T129" s="45"/>
      <c r="U129" s="29"/>
      <c r="V129" s="45"/>
      <c r="W129" s="29"/>
      <c r="X129" s="44" t="s">
        <v>248</v>
      </c>
      <c r="Y129" s="29"/>
    </row>
    <row r="130" ht="15.75" customHeight="1">
      <c r="A130" s="16">
        <v>2.0</v>
      </c>
      <c r="B130" s="43" t="s">
        <v>216</v>
      </c>
      <c r="C130" s="54" t="s">
        <v>379</v>
      </c>
      <c r="D130" s="28"/>
      <c r="E130" s="28"/>
      <c r="F130" s="29"/>
      <c r="G130" s="44" t="s">
        <v>266</v>
      </c>
      <c r="H130" s="28"/>
      <c r="I130" s="28"/>
      <c r="J130" s="29"/>
      <c r="K130" s="44" t="s">
        <v>45</v>
      </c>
      <c r="L130" s="28"/>
      <c r="M130" s="28"/>
      <c r="N130" s="29"/>
      <c r="O130" s="44" t="s">
        <v>220</v>
      </c>
      <c r="P130" s="28"/>
      <c r="Q130" s="29"/>
      <c r="R130" s="45"/>
      <c r="S130" s="29"/>
      <c r="T130" s="44" t="s">
        <v>221</v>
      </c>
      <c r="U130" s="29"/>
      <c r="V130" s="45"/>
      <c r="W130" s="29"/>
      <c r="X130" s="44" t="s">
        <v>380</v>
      </c>
      <c r="Y130" s="29"/>
    </row>
    <row r="131" ht="15.75" customHeight="1">
      <c r="A131" s="16">
        <v>3.0</v>
      </c>
      <c r="B131" s="43" t="s">
        <v>369</v>
      </c>
      <c r="C131" s="56" t="s">
        <v>381</v>
      </c>
      <c r="D131" s="28"/>
      <c r="E131" s="28"/>
      <c r="F131" s="29"/>
      <c r="G131" s="44" t="s">
        <v>266</v>
      </c>
      <c r="H131" s="28"/>
      <c r="I131" s="28"/>
      <c r="J131" s="29"/>
      <c r="K131" s="44" t="s">
        <v>45</v>
      </c>
      <c r="L131" s="28"/>
      <c r="M131" s="28"/>
      <c r="N131" s="29"/>
      <c r="O131" s="44" t="s">
        <v>220</v>
      </c>
      <c r="P131" s="28"/>
      <c r="Q131" s="29"/>
      <c r="R131" s="45"/>
      <c r="S131" s="29"/>
      <c r="T131" s="44" t="s">
        <v>221</v>
      </c>
      <c r="U131" s="29"/>
      <c r="V131" s="45"/>
      <c r="W131" s="29"/>
      <c r="X131" s="44" t="s">
        <v>382</v>
      </c>
      <c r="Y131" s="29"/>
    </row>
    <row r="132" ht="15.75" customHeight="1">
      <c r="A132" s="16">
        <v>4.0</v>
      </c>
      <c r="B132" s="43" t="s">
        <v>383</v>
      </c>
      <c r="C132" s="44" t="s">
        <v>384</v>
      </c>
      <c r="D132" s="28"/>
      <c r="E132" s="28"/>
      <c r="F132" s="29"/>
      <c r="G132" s="44" t="s">
        <v>225</v>
      </c>
      <c r="H132" s="28"/>
      <c r="I132" s="28"/>
      <c r="J132" s="29"/>
      <c r="K132" s="44">
        <v>150.0</v>
      </c>
      <c r="L132" s="28"/>
      <c r="M132" s="28"/>
      <c r="N132" s="29"/>
      <c r="O132" s="44" t="s">
        <v>220</v>
      </c>
      <c r="P132" s="28"/>
      <c r="Q132" s="29"/>
      <c r="R132" s="45"/>
      <c r="S132" s="29"/>
      <c r="T132" s="45"/>
      <c r="U132" s="29"/>
      <c r="V132" s="45"/>
      <c r="W132" s="29"/>
      <c r="X132" s="44" t="s">
        <v>385</v>
      </c>
      <c r="Y132" s="29"/>
    </row>
    <row r="133" ht="15.75" customHeight="1">
      <c r="A133" s="16">
        <v>5.0</v>
      </c>
      <c r="B133" s="43" t="s">
        <v>252</v>
      </c>
      <c r="C133" s="55" t="s">
        <v>386</v>
      </c>
      <c r="D133" s="28"/>
      <c r="E133" s="28"/>
      <c r="F133" s="29"/>
      <c r="G133" s="44" t="s">
        <v>67</v>
      </c>
      <c r="H133" s="28"/>
      <c r="I133" s="28"/>
      <c r="J133" s="29"/>
      <c r="K133" s="44" t="s">
        <v>132</v>
      </c>
      <c r="L133" s="28"/>
      <c r="M133" s="28"/>
      <c r="N133" s="29"/>
      <c r="O133" s="44" t="s">
        <v>254</v>
      </c>
      <c r="P133" s="28"/>
      <c r="Q133" s="29"/>
      <c r="R133" s="45"/>
      <c r="S133" s="29"/>
      <c r="T133" s="45"/>
      <c r="U133" s="29"/>
      <c r="V133" s="45"/>
      <c r="W133" s="29"/>
      <c r="X133" s="44" t="s">
        <v>387</v>
      </c>
      <c r="Y133" s="29"/>
    </row>
    <row r="134" ht="15.75" customHeight="1">
      <c r="A134" s="47">
        <v>6.0</v>
      </c>
      <c r="B134" s="43" t="s">
        <v>388</v>
      </c>
      <c r="C134" s="54" t="s">
        <v>389</v>
      </c>
      <c r="D134" s="28"/>
      <c r="E134" s="28"/>
      <c r="F134" s="29"/>
      <c r="G134" s="44" t="s">
        <v>238</v>
      </c>
      <c r="H134" s="28"/>
      <c r="I134" s="28"/>
      <c r="J134" s="29"/>
      <c r="K134" s="44" t="s">
        <v>91</v>
      </c>
      <c r="L134" s="28"/>
      <c r="M134" s="28"/>
      <c r="N134" s="29"/>
      <c r="O134" s="44" t="s">
        <v>220</v>
      </c>
      <c r="P134" s="28"/>
      <c r="Q134" s="29"/>
      <c r="R134" s="45"/>
      <c r="S134" s="29"/>
      <c r="T134" s="45"/>
      <c r="U134" s="29"/>
      <c r="V134" s="45"/>
      <c r="W134" s="29"/>
      <c r="X134" s="44" t="s">
        <v>390</v>
      </c>
      <c r="Y134" s="29"/>
    </row>
    <row r="135" ht="15.75" customHeight="1">
      <c r="A135" s="48">
        <v>7.0</v>
      </c>
      <c r="B135" s="43" t="s">
        <v>391</v>
      </c>
      <c r="C135" s="56" t="s">
        <v>392</v>
      </c>
      <c r="D135" s="28"/>
      <c r="E135" s="28"/>
      <c r="F135" s="29"/>
      <c r="G135" s="44" t="s">
        <v>225</v>
      </c>
      <c r="H135" s="28"/>
      <c r="I135" s="28"/>
      <c r="J135" s="29"/>
      <c r="K135" s="44">
        <v>150.0</v>
      </c>
      <c r="L135" s="28"/>
      <c r="M135" s="28"/>
      <c r="N135" s="29"/>
      <c r="O135" s="44" t="s">
        <v>254</v>
      </c>
      <c r="P135" s="28"/>
      <c r="Q135" s="29"/>
      <c r="R135" s="45"/>
      <c r="S135" s="29"/>
      <c r="T135" s="45"/>
      <c r="U135" s="29"/>
      <c r="V135" s="45"/>
      <c r="W135" s="29"/>
      <c r="X135" s="44" t="s">
        <v>393</v>
      </c>
      <c r="Y135" s="29"/>
    </row>
    <row r="136" ht="15.75" customHeight="1"/>
    <row r="137" ht="15.75" customHeight="1"/>
    <row r="138" ht="15.75" customHeight="1">
      <c r="A138" s="53">
        <v>14.0</v>
      </c>
      <c r="B138" s="39" t="s">
        <v>3</v>
      </c>
      <c r="C138" s="49" t="str">
        <f>B17</f>
        <v>seguimiento</v>
      </c>
      <c r="D138" s="28"/>
      <c r="E138" s="28"/>
      <c r="F138" s="29"/>
      <c r="G138" s="39" t="s">
        <v>4</v>
      </c>
      <c r="H138" s="28"/>
      <c r="I138" s="28"/>
      <c r="J138" s="29"/>
      <c r="K138" s="50" t="str">
        <f>F17</f>
        <v>Almacena la relación de seguimiento entre usuarios (quién sigue a quién).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9"/>
      <c r="X138" s="41" t="s">
        <v>205</v>
      </c>
      <c r="Y138" s="51"/>
    </row>
    <row r="139" ht="15.75" customHeight="1">
      <c r="A139" s="41" t="s">
        <v>2</v>
      </c>
      <c r="B139" s="41" t="s">
        <v>207</v>
      </c>
      <c r="C139" s="39" t="s">
        <v>208</v>
      </c>
      <c r="D139" s="28"/>
      <c r="E139" s="28"/>
      <c r="F139" s="29"/>
      <c r="G139" s="39" t="s">
        <v>243</v>
      </c>
      <c r="H139" s="28"/>
      <c r="I139" s="28"/>
      <c r="J139" s="29"/>
      <c r="K139" s="39" t="s">
        <v>210</v>
      </c>
      <c r="L139" s="28"/>
      <c r="M139" s="28"/>
      <c r="N139" s="29"/>
      <c r="O139" s="39" t="s">
        <v>211</v>
      </c>
      <c r="P139" s="28"/>
      <c r="Q139" s="29"/>
      <c r="R139" s="39" t="s">
        <v>212</v>
      </c>
      <c r="S139" s="29"/>
      <c r="T139" s="39" t="s">
        <v>213</v>
      </c>
      <c r="U139" s="29"/>
      <c r="V139" s="39" t="s">
        <v>214</v>
      </c>
      <c r="W139" s="29"/>
      <c r="X139" s="39" t="s">
        <v>215</v>
      </c>
      <c r="Y139" s="29"/>
    </row>
    <row r="140" ht="15.75" customHeight="1">
      <c r="A140" s="16">
        <v>1.0</v>
      </c>
      <c r="B140" s="66" t="s">
        <v>394</v>
      </c>
      <c r="C140" s="55" t="s">
        <v>395</v>
      </c>
      <c r="D140" s="28"/>
      <c r="E140" s="28"/>
      <c r="F140" s="29"/>
      <c r="G140" s="44" t="s">
        <v>246</v>
      </c>
      <c r="H140" s="28"/>
      <c r="I140" s="28"/>
      <c r="J140" s="29"/>
      <c r="K140" s="44" t="s">
        <v>45</v>
      </c>
      <c r="L140" s="28"/>
      <c r="M140" s="28"/>
      <c r="N140" s="29"/>
      <c r="O140" s="44" t="s">
        <v>220</v>
      </c>
      <c r="P140" s="28"/>
      <c r="Q140" s="29"/>
      <c r="R140" s="44" t="s">
        <v>221</v>
      </c>
      <c r="S140" s="29"/>
      <c r="T140" s="45"/>
      <c r="U140" s="29"/>
      <c r="V140" s="45"/>
      <c r="W140" s="29"/>
      <c r="X140" s="44" t="s">
        <v>248</v>
      </c>
      <c r="Y140" s="29"/>
    </row>
    <row r="141" ht="15.75" customHeight="1">
      <c r="A141" s="16">
        <v>2.0</v>
      </c>
      <c r="B141" s="67" t="s">
        <v>396</v>
      </c>
      <c r="C141" s="55" t="s">
        <v>397</v>
      </c>
      <c r="D141" s="28"/>
      <c r="E141" s="28"/>
      <c r="F141" s="29"/>
      <c r="G141" s="44" t="s">
        <v>266</v>
      </c>
      <c r="H141" s="28"/>
      <c r="I141" s="28"/>
      <c r="J141" s="29"/>
      <c r="K141" s="44" t="s">
        <v>45</v>
      </c>
      <c r="L141" s="28"/>
      <c r="M141" s="28"/>
      <c r="N141" s="29"/>
      <c r="O141" s="44" t="s">
        <v>220</v>
      </c>
      <c r="P141" s="28"/>
      <c r="Q141" s="29"/>
      <c r="R141" s="45"/>
      <c r="S141" s="29"/>
      <c r="T141" s="44" t="s">
        <v>221</v>
      </c>
      <c r="U141" s="29"/>
      <c r="V141" s="45"/>
      <c r="W141" s="29"/>
      <c r="X141" s="44" t="s">
        <v>398</v>
      </c>
      <c r="Y141" s="29"/>
    </row>
    <row r="142" ht="15.75" customHeight="1">
      <c r="A142" s="16">
        <v>3.0</v>
      </c>
      <c r="B142" s="67" t="s">
        <v>399</v>
      </c>
      <c r="C142" s="55" t="s">
        <v>400</v>
      </c>
      <c r="D142" s="28"/>
      <c r="E142" s="28"/>
      <c r="F142" s="29"/>
      <c r="G142" s="44" t="s">
        <v>266</v>
      </c>
      <c r="H142" s="28"/>
      <c r="I142" s="28"/>
      <c r="J142" s="29"/>
      <c r="K142" s="44" t="s">
        <v>401</v>
      </c>
      <c r="L142" s="28"/>
      <c r="M142" s="28"/>
      <c r="N142" s="29"/>
      <c r="O142" s="44" t="s">
        <v>220</v>
      </c>
      <c r="P142" s="28"/>
      <c r="Q142" s="29"/>
      <c r="R142" s="45"/>
      <c r="S142" s="29"/>
      <c r="T142" s="44" t="s">
        <v>221</v>
      </c>
      <c r="U142" s="29"/>
      <c r="V142" s="45"/>
      <c r="W142" s="29"/>
      <c r="X142" s="44" t="s">
        <v>402</v>
      </c>
      <c r="Y142" s="29"/>
    </row>
    <row r="143" ht="15.75" customHeight="1">
      <c r="A143" s="16">
        <v>4.0</v>
      </c>
      <c r="B143" s="43" t="s">
        <v>403</v>
      </c>
      <c r="C143" s="54" t="s">
        <v>404</v>
      </c>
      <c r="D143" s="28"/>
      <c r="E143" s="28"/>
      <c r="F143" s="29"/>
      <c r="G143" s="44" t="s">
        <v>238</v>
      </c>
      <c r="H143" s="28"/>
      <c r="I143" s="28"/>
      <c r="J143" s="29"/>
      <c r="K143" s="44" t="s">
        <v>91</v>
      </c>
      <c r="L143" s="28"/>
      <c r="M143" s="28"/>
      <c r="N143" s="29"/>
      <c r="O143" s="44" t="s">
        <v>220</v>
      </c>
      <c r="P143" s="28"/>
      <c r="Q143" s="29"/>
      <c r="R143" s="45"/>
      <c r="S143" s="29"/>
      <c r="T143" s="45"/>
      <c r="U143" s="29"/>
      <c r="V143" s="45"/>
      <c r="W143" s="29"/>
      <c r="X143" s="44" t="s">
        <v>239</v>
      </c>
      <c r="Y143" s="29"/>
    </row>
    <row r="144" ht="15.75" customHeight="1"/>
    <row r="145" ht="15.75" customHeight="1"/>
    <row r="146" ht="15.75" customHeight="1"/>
    <row r="147" ht="15.75" customHeight="1">
      <c r="A147" s="53">
        <v>15.0</v>
      </c>
      <c r="B147" s="39" t="s">
        <v>3</v>
      </c>
      <c r="C147" s="49" t="str">
        <f>B18</f>
        <v>reaccion</v>
      </c>
      <c r="D147" s="28"/>
      <c r="E147" s="28"/>
      <c r="F147" s="29"/>
      <c r="G147" s="39" t="s">
        <v>4</v>
      </c>
      <c r="H147" s="28"/>
      <c r="I147" s="28"/>
      <c r="J147" s="29"/>
      <c r="K147" s="50" t="str">
        <f>F18</f>
        <v>Registra los likes o reacciones de un usuario sobre una publicación en específico.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9"/>
      <c r="X147" s="41" t="s">
        <v>205</v>
      </c>
      <c r="Y147" s="51"/>
    </row>
    <row r="148" ht="15.75" customHeight="1">
      <c r="A148" s="41" t="s">
        <v>2</v>
      </c>
      <c r="B148" s="41" t="s">
        <v>207</v>
      </c>
      <c r="C148" s="39" t="s">
        <v>208</v>
      </c>
      <c r="D148" s="28"/>
      <c r="E148" s="28"/>
      <c r="F148" s="29"/>
      <c r="G148" s="39" t="s">
        <v>243</v>
      </c>
      <c r="H148" s="28"/>
      <c r="I148" s="28"/>
      <c r="J148" s="29"/>
      <c r="K148" s="39" t="s">
        <v>210</v>
      </c>
      <c r="L148" s="28"/>
      <c r="M148" s="28"/>
      <c r="N148" s="29"/>
      <c r="O148" s="39" t="s">
        <v>211</v>
      </c>
      <c r="P148" s="28"/>
      <c r="Q148" s="29"/>
      <c r="R148" s="39" t="s">
        <v>212</v>
      </c>
      <c r="S148" s="29"/>
      <c r="T148" s="39" t="s">
        <v>213</v>
      </c>
      <c r="U148" s="29"/>
      <c r="V148" s="39" t="s">
        <v>214</v>
      </c>
      <c r="W148" s="29"/>
      <c r="X148" s="39" t="s">
        <v>215</v>
      </c>
      <c r="Y148" s="29"/>
    </row>
    <row r="149" ht="15.75" customHeight="1">
      <c r="A149" s="16">
        <v>1.0</v>
      </c>
      <c r="B149" s="43" t="s">
        <v>405</v>
      </c>
      <c r="C149" s="55" t="s">
        <v>406</v>
      </c>
      <c r="D149" s="28"/>
      <c r="E149" s="28"/>
      <c r="F149" s="29"/>
      <c r="G149" s="44" t="s">
        <v>246</v>
      </c>
      <c r="H149" s="28"/>
      <c r="I149" s="28"/>
      <c r="J149" s="29"/>
      <c r="K149" s="44" t="s">
        <v>45</v>
      </c>
      <c r="L149" s="28"/>
      <c r="M149" s="28"/>
      <c r="N149" s="29"/>
      <c r="O149" s="44" t="s">
        <v>220</v>
      </c>
      <c r="P149" s="28"/>
      <c r="Q149" s="29"/>
      <c r="R149" s="44" t="s">
        <v>221</v>
      </c>
      <c r="S149" s="29"/>
      <c r="T149" s="45"/>
      <c r="U149" s="29"/>
      <c r="V149" s="45"/>
      <c r="W149" s="29"/>
      <c r="X149" s="44" t="s">
        <v>248</v>
      </c>
      <c r="Y149" s="29"/>
    </row>
    <row r="150" ht="15.75" customHeight="1">
      <c r="A150" s="16">
        <v>2.0</v>
      </c>
      <c r="B150" s="43" t="s">
        <v>216</v>
      </c>
      <c r="C150" s="56" t="s">
        <v>407</v>
      </c>
      <c r="D150" s="28"/>
      <c r="E150" s="28"/>
      <c r="F150" s="29"/>
      <c r="G150" s="44" t="s">
        <v>266</v>
      </c>
      <c r="H150" s="28"/>
      <c r="I150" s="28"/>
      <c r="J150" s="29"/>
      <c r="K150" s="44" t="s">
        <v>45</v>
      </c>
      <c r="L150" s="28"/>
      <c r="M150" s="28"/>
      <c r="N150" s="29"/>
      <c r="O150" s="44" t="s">
        <v>220</v>
      </c>
      <c r="P150" s="28"/>
      <c r="Q150" s="29"/>
      <c r="R150" s="45"/>
      <c r="S150" s="29"/>
      <c r="T150" s="44" t="s">
        <v>221</v>
      </c>
      <c r="U150" s="29"/>
      <c r="V150" s="45"/>
      <c r="W150" s="29"/>
      <c r="X150" s="44" t="s">
        <v>285</v>
      </c>
      <c r="Y150" s="29"/>
    </row>
    <row r="151" ht="15.75" customHeight="1">
      <c r="A151" s="16">
        <v>3.0</v>
      </c>
      <c r="B151" s="43" t="s">
        <v>281</v>
      </c>
      <c r="C151" s="55" t="s">
        <v>408</v>
      </c>
      <c r="D151" s="28"/>
      <c r="E151" s="28"/>
      <c r="F151" s="29"/>
      <c r="G151" s="44" t="s">
        <v>266</v>
      </c>
      <c r="H151" s="28"/>
      <c r="I151" s="28"/>
      <c r="J151" s="29"/>
      <c r="K151" s="44" t="s">
        <v>45</v>
      </c>
      <c r="L151" s="28"/>
      <c r="M151" s="28"/>
      <c r="N151" s="29"/>
      <c r="O151" s="44" t="s">
        <v>220</v>
      </c>
      <c r="P151" s="28"/>
      <c r="Q151" s="29"/>
      <c r="R151" s="45"/>
      <c r="S151" s="29"/>
      <c r="T151" s="44" t="s">
        <v>221</v>
      </c>
      <c r="U151" s="29"/>
      <c r="V151" s="45"/>
      <c r="W151" s="29"/>
      <c r="X151" s="44" t="s">
        <v>300</v>
      </c>
      <c r="Y151" s="29"/>
    </row>
    <row r="152" ht="15.75" customHeight="1">
      <c r="A152" s="16">
        <v>4.0</v>
      </c>
      <c r="B152" s="43" t="s">
        <v>409</v>
      </c>
      <c r="C152" s="44" t="s">
        <v>410</v>
      </c>
      <c r="D152" s="28"/>
      <c r="E152" s="28"/>
      <c r="F152" s="29"/>
      <c r="G152" s="44" t="s">
        <v>225</v>
      </c>
      <c r="H152" s="28"/>
      <c r="I152" s="28"/>
      <c r="J152" s="29"/>
      <c r="K152" s="44">
        <v>30.0</v>
      </c>
      <c r="L152" s="28"/>
      <c r="M152" s="28"/>
      <c r="N152" s="29"/>
      <c r="O152" s="44" t="s">
        <v>220</v>
      </c>
      <c r="P152" s="28"/>
      <c r="Q152" s="29"/>
      <c r="R152" s="45"/>
      <c r="S152" s="29"/>
      <c r="T152" s="45"/>
      <c r="U152" s="29"/>
      <c r="V152" s="45"/>
      <c r="W152" s="29"/>
      <c r="X152" s="44" t="s">
        <v>411</v>
      </c>
      <c r="Y152" s="29"/>
    </row>
    <row r="153" ht="15.75" customHeight="1">
      <c r="A153" s="16">
        <v>5.0</v>
      </c>
      <c r="B153" s="43" t="s">
        <v>412</v>
      </c>
      <c r="C153" s="44" t="s">
        <v>413</v>
      </c>
      <c r="D153" s="28"/>
      <c r="E153" s="28"/>
      <c r="F153" s="29"/>
      <c r="G153" s="44" t="s">
        <v>238</v>
      </c>
      <c r="H153" s="28"/>
      <c r="I153" s="28"/>
      <c r="J153" s="29"/>
      <c r="K153" s="44" t="s">
        <v>91</v>
      </c>
      <c r="L153" s="28"/>
      <c r="M153" s="28"/>
      <c r="N153" s="29"/>
      <c r="O153" s="44" t="s">
        <v>220</v>
      </c>
      <c r="P153" s="28"/>
      <c r="Q153" s="29"/>
      <c r="R153" s="45"/>
      <c r="S153" s="29"/>
      <c r="T153" s="45"/>
      <c r="U153" s="29"/>
      <c r="V153" s="45"/>
      <c r="W153" s="29"/>
      <c r="X153" s="44" t="s">
        <v>239</v>
      </c>
      <c r="Y153" s="29"/>
    </row>
    <row r="154" ht="15.75" customHeight="1"/>
    <row r="155" ht="15.75" customHeight="1"/>
    <row r="156" ht="15.75" customHeight="1">
      <c r="A156" s="53">
        <v>16.0</v>
      </c>
      <c r="B156" s="39" t="s">
        <v>3</v>
      </c>
      <c r="C156" s="49" t="str">
        <f>B19</f>
        <v>compra</v>
      </c>
      <c r="D156" s="28"/>
      <c r="E156" s="28"/>
      <c r="F156" s="29"/>
      <c r="G156" s="39" t="s">
        <v>4</v>
      </c>
      <c r="H156" s="28"/>
      <c r="I156" s="28"/>
      <c r="J156" s="29"/>
      <c r="K156" s="50" t="str">
        <f>F19</f>
        <v>Almacena las órdenes o transacciones de adquisición de productos.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9"/>
      <c r="X156" s="41" t="s">
        <v>205</v>
      </c>
      <c r="Y156" s="51"/>
    </row>
    <row r="157" ht="15.75" customHeight="1">
      <c r="A157" s="41" t="s">
        <v>2</v>
      </c>
      <c r="B157" s="41" t="s">
        <v>207</v>
      </c>
      <c r="C157" s="39" t="s">
        <v>208</v>
      </c>
      <c r="D157" s="28"/>
      <c r="E157" s="28"/>
      <c r="F157" s="29"/>
      <c r="G157" s="39" t="s">
        <v>243</v>
      </c>
      <c r="H157" s="28"/>
      <c r="I157" s="28"/>
      <c r="J157" s="29"/>
      <c r="K157" s="39" t="s">
        <v>210</v>
      </c>
      <c r="L157" s="28"/>
      <c r="M157" s="28"/>
      <c r="N157" s="29"/>
      <c r="O157" s="39" t="s">
        <v>211</v>
      </c>
      <c r="P157" s="28"/>
      <c r="Q157" s="29"/>
      <c r="R157" s="39" t="s">
        <v>212</v>
      </c>
      <c r="S157" s="29"/>
      <c r="T157" s="39" t="s">
        <v>213</v>
      </c>
      <c r="U157" s="29"/>
      <c r="V157" s="39" t="s">
        <v>214</v>
      </c>
      <c r="W157" s="29"/>
      <c r="X157" s="39" t="s">
        <v>215</v>
      </c>
      <c r="Y157" s="29"/>
    </row>
    <row r="158" ht="15.75" customHeight="1">
      <c r="A158" s="16">
        <v>1.0</v>
      </c>
      <c r="B158" s="43" t="s">
        <v>414</v>
      </c>
      <c r="C158" s="56" t="s">
        <v>415</v>
      </c>
      <c r="D158" s="28"/>
      <c r="E158" s="28"/>
      <c r="F158" s="29"/>
      <c r="G158" s="44" t="s">
        <v>246</v>
      </c>
      <c r="H158" s="28"/>
      <c r="I158" s="28"/>
      <c r="J158" s="29"/>
      <c r="K158" s="44" t="s">
        <v>45</v>
      </c>
      <c r="L158" s="28"/>
      <c r="M158" s="28"/>
      <c r="N158" s="29"/>
      <c r="O158" s="44" t="s">
        <v>220</v>
      </c>
      <c r="P158" s="28"/>
      <c r="Q158" s="29"/>
      <c r="R158" s="44" t="s">
        <v>221</v>
      </c>
      <c r="S158" s="29"/>
      <c r="T158" s="45"/>
      <c r="U158" s="29"/>
      <c r="V158" s="45"/>
      <c r="W158" s="29"/>
      <c r="X158" s="44" t="s">
        <v>248</v>
      </c>
      <c r="Y158" s="29"/>
    </row>
    <row r="159" ht="15.75" customHeight="1">
      <c r="A159" s="16">
        <v>2.0</v>
      </c>
      <c r="B159" s="43" t="s">
        <v>354</v>
      </c>
      <c r="C159" s="54" t="s">
        <v>416</v>
      </c>
      <c r="D159" s="28"/>
      <c r="E159" s="28"/>
      <c r="F159" s="29"/>
      <c r="G159" s="44" t="s">
        <v>266</v>
      </c>
      <c r="H159" s="28"/>
      <c r="I159" s="28"/>
      <c r="J159" s="29"/>
      <c r="K159" s="44" t="s">
        <v>45</v>
      </c>
      <c r="L159" s="28"/>
      <c r="M159" s="28"/>
      <c r="N159" s="29"/>
      <c r="O159" s="44" t="s">
        <v>220</v>
      </c>
      <c r="P159" s="28"/>
      <c r="Q159" s="29"/>
      <c r="R159" s="45"/>
      <c r="S159" s="29"/>
      <c r="T159" s="44" t="s">
        <v>221</v>
      </c>
      <c r="U159" s="29"/>
      <c r="V159" s="45"/>
      <c r="W159" s="29"/>
      <c r="X159" s="44" t="s">
        <v>417</v>
      </c>
      <c r="Y159" s="29"/>
    </row>
    <row r="160" ht="15.75" customHeight="1">
      <c r="A160" s="16">
        <v>3.0</v>
      </c>
      <c r="B160" s="65" t="s">
        <v>418</v>
      </c>
      <c r="C160" s="44" t="s">
        <v>419</v>
      </c>
      <c r="D160" s="28"/>
      <c r="E160" s="28"/>
      <c r="F160" s="29"/>
      <c r="G160" s="44" t="s">
        <v>266</v>
      </c>
      <c r="H160" s="28"/>
      <c r="I160" s="28"/>
      <c r="J160" s="29"/>
      <c r="K160" s="44" t="s">
        <v>45</v>
      </c>
      <c r="L160" s="28"/>
      <c r="M160" s="28"/>
      <c r="N160" s="29"/>
      <c r="O160" s="44" t="s">
        <v>220</v>
      </c>
      <c r="P160" s="28"/>
      <c r="Q160" s="29"/>
      <c r="R160" s="45"/>
      <c r="S160" s="29"/>
      <c r="T160" s="44" t="s">
        <v>221</v>
      </c>
      <c r="U160" s="29"/>
      <c r="V160" s="45"/>
      <c r="W160" s="29"/>
      <c r="X160" s="44" t="s">
        <v>420</v>
      </c>
      <c r="Y160" s="29"/>
    </row>
    <row r="161" ht="15.75" customHeight="1">
      <c r="A161" s="16">
        <v>4.0</v>
      </c>
      <c r="B161" s="43" t="s">
        <v>421</v>
      </c>
      <c r="C161" s="58" t="s">
        <v>422</v>
      </c>
      <c r="D161" s="28"/>
      <c r="E161" s="28"/>
      <c r="F161" s="29"/>
      <c r="G161" s="44" t="s">
        <v>238</v>
      </c>
      <c r="H161" s="28"/>
      <c r="I161" s="28"/>
      <c r="J161" s="29"/>
      <c r="K161" s="44" t="s">
        <v>91</v>
      </c>
      <c r="L161" s="28"/>
      <c r="M161" s="28"/>
      <c r="N161" s="29"/>
      <c r="O161" s="44" t="s">
        <v>220</v>
      </c>
      <c r="P161" s="28"/>
      <c r="Q161" s="29"/>
      <c r="R161" s="45"/>
      <c r="S161" s="29"/>
      <c r="T161" s="45"/>
      <c r="U161" s="29"/>
      <c r="V161" s="45"/>
      <c r="W161" s="29"/>
      <c r="X161" s="44" t="s">
        <v>239</v>
      </c>
      <c r="Y161" s="29"/>
    </row>
    <row r="162" ht="15.75" customHeight="1">
      <c r="A162" s="16">
        <v>5.0</v>
      </c>
      <c r="B162" s="43" t="s">
        <v>423</v>
      </c>
      <c r="C162" s="55" t="s">
        <v>424</v>
      </c>
      <c r="D162" s="28"/>
      <c r="E162" s="28"/>
      <c r="F162" s="29"/>
      <c r="G162" s="44" t="s">
        <v>266</v>
      </c>
      <c r="H162" s="28"/>
      <c r="I162" s="28"/>
      <c r="J162" s="29"/>
      <c r="K162" s="44" t="s">
        <v>45</v>
      </c>
      <c r="L162" s="28"/>
      <c r="M162" s="28"/>
      <c r="N162" s="29"/>
      <c r="O162" s="44" t="s">
        <v>220</v>
      </c>
      <c r="P162" s="28"/>
      <c r="Q162" s="29"/>
      <c r="R162" s="45"/>
      <c r="S162" s="29"/>
      <c r="T162" s="45"/>
      <c r="U162" s="29"/>
      <c r="V162" s="45"/>
      <c r="W162" s="29"/>
      <c r="X162" s="44" t="s">
        <v>425</v>
      </c>
      <c r="Y162" s="29"/>
    </row>
    <row r="163" ht="15.75" customHeight="1">
      <c r="A163" s="47">
        <v>6.0</v>
      </c>
      <c r="B163" s="43" t="s">
        <v>426</v>
      </c>
      <c r="C163" s="44" t="s">
        <v>427</v>
      </c>
      <c r="D163" s="28"/>
      <c r="E163" s="28"/>
      <c r="F163" s="29"/>
      <c r="G163" s="44" t="s">
        <v>341</v>
      </c>
      <c r="H163" s="28"/>
      <c r="I163" s="28"/>
      <c r="J163" s="29"/>
      <c r="K163" s="44">
        <v>10.2</v>
      </c>
      <c r="L163" s="28"/>
      <c r="M163" s="28"/>
      <c r="N163" s="29"/>
      <c r="O163" s="44" t="s">
        <v>220</v>
      </c>
      <c r="P163" s="28"/>
      <c r="Q163" s="29"/>
      <c r="R163" s="45"/>
      <c r="S163" s="29"/>
      <c r="T163" s="45"/>
      <c r="U163" s="29"/>
      <c r="V163" s="45"/>
      <c r="W163" s="29"/>
      <c r="X163" s="44" t="s">
        <v>428</v>
      </c>
      <c r="Y163" s="29"/>
    </row>
    <row r="164" ht="15.75" customHeight="1">
      <c r="A164" s="48">
        <v>7.0</v>
      </c>
      <c r="B164" s="43" t="s">
        <v>240</v>
      </c>
      <c r="C164" s="46" t="s">
        <v>429</v>
      </c>
      <c r="D164" s="63"/>
      <c r="E164" s="63"/>
      <c r="F164" s="57"/>
      <c r="G164" s="44" t="s">
        <v>225</v>
      </c>
      <c r="H164" s="28"/>
      <c r="I164" s="28"/>
      <c r="J164" s="29"/>
      <c r="K164" s="44">
        <v>20.0</v>
      </c>
      <c r="L164" s="28"/>
      <c r="M164" s="28"/>
      <c r="N164" s="29"/>
      <c r="O164" s="44" t="s">
        <v>220</v>
      </c>
      <c r="P164" s="28"/>
      <c r="Q164" s="29"/>
      <c r="R164" s="45"/>
      <c r="S164" s="29"/>
      <c r="T164" s="45"/>
      <c r="U164" s="29"/>
      <c r="V164" s="45"/>
      <c r="W164" s="29"/>
      <c r="X164" s="44" t="s">
        <v>430</v>
      </c>
      <c r="Y164" s="29"/>
    </row>
    <row r="165" ht="15.75" customHeight="1"/>
    <row r="166" ht="15.75" customHeight="1"/>
    <row r="167" ht="15.75" customHeight="1"/>
    <row r="168" ht="15.75" customHeight="1">
      <c r="A168" s="53">
        <v>17.0</v>
      </c>
      <c r="B168" s="39" t="s">
        <v>3</v>
      </c>
      <c r="C168" s="49" t="str">
        <f>B20</f>
        <v>membresia_grupo</v>
      </c>
      <c r="D168" s="28"/>
      <c r="E168" s="28"/>
      <c r="F168" s="29"/>
      <c r="G168" s="39" t="s">
        <v>4</v>
      </c>
      <c r="H168" s="28"/>
      <c r="I168" s="28"/>
      <c r="J168" s="29"/>
      <c r="K168" s="50" t="str">
        <f>F20</f>
        <v>Registra los miembros pertenecientes a los grupos y el estado de su membresía.</v>
      </c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9"/>
      <c r="X168" s="41" t="s">
        <v>205</v>
      </c>
      <c r="Y168" s="51"/>
    </row>
    <row r="169" ht="15.75" customHeight="1">
      <c r="A169" s="41" t="s">
        <v>2</v>
      </c>
      <c r="B169" s="41" t="s">
        <v>207</v>
      </c>
      <c r="C169" s="39" t="s">
        <v>208</v>
      </c>
      <c r="D169" s="28"/>
      <c r="E169" s="28"/>
      <c r="F169" s="29"/>
      <c r="G169" s="39" t="s">
        <v>243</v>
      </c>
      <c r="H169" s="28"/>
      <c r="I169" s="28"/>
      <c r="J169" s="29"/>
      <c r="K169" s="39" t="s">
        <v>210</v>
      </c>
      <c r="L169" s="28"/>
      <c r="M169" s="28"/>
      <c r="N169" s="29"/>
      <c r="O169" s="39" t="s">
        <v>211</v>
      </c>
      <c r="P169" s="28"/>
      <c r="Q169" s="29"/>
      <c r="R169" s="39" t="s">
        <v>212</v>
      </c>
      <c r="S169" s="29"/>
      <c r="T169" s="39" t="s">
        <v>213</v>
      </c>
      <c r="U169" s="29"/>
      <c r="V169" s="39" t="s">
        <v>214</v>
      </c>
      <c r="W169" s="29"/>
      <c r="X169" s="39" t="s">
        <v>215</v>
      </c>
      <c r="Y169" s="29"/>
    </row>
    <row r="170" ht="15.75" customHeight="1">
      <c r="A170" s="16">
        <v>1.0</v>
      </c>
      <c r="B170" s="43" t="s">
        <v>431</v>
      </c>
      <c r="C170" s="60" t="s">
        <v>432</v>
      </c>
      <c r="D170" s="28"/>
      <c r="E170" s="28"/>
      <c r="F170" s="29"/>
      <c r="G170" s="44" t="s">
        <v>246</v>
      </c>
      <c r="H170" s="28"/>
      <c r="I170" s="28"/>
      <c r="J170" s="29"/>
      <c r="K170" s="44" t="s">
        <v>45</v>
      </c>
      <c r="L170" s="28"/>
      <c r="M170" s="28"/>
      <c r="N170" s="29"/>
      <c r="O170" s="44" t="s">
        <v>220</v>
      </c>
      <c r="P170" s="28"/>
      <c r="Q170" s="29"/>
      <c r="R170" s="44" t="s">
        <v>221</v>
      </c>
      <c r="S170" s="29"/>
      <c r="T170" s="45"/>
      <c r="U170" s="29"/>
      <c r="V170" s="45"/>
      <c r="W170" s="29"/>
      <c r="X170" s="44" t="s">
        <v>248</v>
      </c>
      <c r="Y170" s="29"/>
    </row>
    <row r="171" ht="15.75" customHeight="1">
      <c r="A171" s="16">
        <v>2.0</v>
      </c>
      <c r="B171" s="43" t="s">
        <v>216</v>
      </c>
      <c r="C171" s="59" t="s">
        <v>433</v>
      </c>
      <c r="D171" s="28"/>
      <c r="E171" s="28"/>
      <c r="F171" s="29"/>
      <c r="G171" s="44" t="s">
        <v>266</v>
      </c>
      <c r="H171" s="28"/>
      <c r="I171" s="28"/>
      <c r="J171" s="29"/>
      <c r="K171" s="44" t="s">
        <v>45</v>
      </c>
      <c r="L171" s="28"/>
      <c r="M171" s="28"/>
      <c r="N171" s="29"/>
      <c r="O171" s="44" t="s">
        <v>220</v>
      </c>
      <c r="P171" s="28"/>
      <c r="Q171" s="29"/>
      <c r="R171" s="45"/>
      <c r="S171" s="29"/>
      <c r="T171" s="44" t="s">
        <v>221</v>
      </c>
      <c r="U171" s="29"/>
      <c r="V171" s="45"/>
      <c r="W171" s="29"/>
      <c r="X171" s="44" t="s">
        <v>285</v>
      </c>
      <c r="Y171" s="29"/>
    </row>
    <row r="172" ht="15.75" customHeight="1">
      <c r="A172" s="16">
        <v>3.0</v>
      </c>
      <c r="B172" s="43" t="s">
        <v>307</v>
      </c>
      <c r="C172" s="59" t="s">
        <v>434</v>
      </c>
      <c r="D172" s="28"/>
      <c r="E172" s="28"/>
      <c r="F172" s="29"/>
      <c r="G172" s="44" t="s">
        <v>266</v>
      </c>
      <c r="H172" s="28"/>
      <c r="I172" s="28"/>
      <c r="J172" s="29"/>
      <c r="K172" s="44" t="s">
        <v>45</v>
      </c>
      <c r="L172" s="28"/>
      <c r="M172" s="28"/>
      <c r="N172" s="29"/>
      <c r="O172" s="44" t="s">
        <v>220</v>
      </c>
      <c r="P172" s="28"/>
      <c r="Q172" s="29"/>
      <c r="R172" s="45"/>
      <c r="S172" s="29"/>
      <c r="T172" s="44" t="s">
        <v>221</v>
      </c>
      <c r="U172" s="29"/>
      <c r="V172" s="45"/>
      <c r="W172" s="29"/>
      <c r="X172" s="44" t="s">
        <v>435</v>
      </c>
      <c r="Y172" s="29"/>
    </row>
    <row r="173" ht="15.75" customHeight="1">
      <c r="A173" s="16">
        <v>4.0</v>
      </c>
      <c r="B173" s="43" t="s">
        <v>240</v>
      </c>
      <c r="C173" s="68" t="s">
        <v>436</v>
      </c>
      <c r="D173" s="28"/>
      <c r="E173" s="28"/>
      <c r="F173" s="29"/>
      <c r="G173" s="44" t="s">
        <v>225</v>
      </c>
      <c r="H173" s="28"/>
      <c r="I173" s="28"/>
      <c r="J173" s="29"/>
      <c r="K173" s="44">
        <v>20.0</v>
      </c>
      <c r="L173" s="28"/>
      <c r="M173" s="28"/>
      <c r="N173" s="29"/>
      <c r="O173" s="44" t="s">
        <v>220</v>
      </c>
      <c r="P173" s="28"/>
      <c r="Q173" s="29"/>
      <c r="R173" s="45"/>
      <c r="S173" s="29"/>
      <c r="T173" s="45"/>
      <c r="U173" s="29"/>
      <c r="V173" s="45"/>
      <c r="W173" s="29"/>
      <c r="X173" s="44" t="s">
        <v>437</v>
      </c>
      <c r="Y173" s="29"/>
    </row>
    <row r="174" ht="15.75" customHeight="1"/>
    <row r="175" ht="15.75" customHeight="1"/>
    <row r="176" ht="15.75" customHeight="1"/>
    <row r="177" ht="15.75" customHeight="1">
      <c r="A177" s="53">
        <v>18.0</v>
      </c>
      <c r="B177" s="39" t="s">
        <v>3</v>
      </c>
      <c r="C177" s="49" t="str">
        <f>B21</f>
        <v>solicitud_servicio</v>
      </c>
      <c r="D177" s="28"/>
      <c r="E177" s="28"/>
      <c r="F177" s="29"/>
      <c r="G177" s="39" t="s">
        <v>4</v>
      </c>
      <c r="H177" s="28"/>
      <c r="I177" s="28"/>
      <c r="J177" s="29"/>
      <c r="K177" s="50" t="str">
        <f>F21</f>
        <v>Registra las solicitudes enviadas por usuarios interesados en contratar un servicio.</v>
      </c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9"/>
      <c r="X177" s="41" t="s">
        <v>205</v>
      </c>
      <c r="Y177" s="51"/>
    </row>
    <row r="178" ht="15.75" customHeight="1">
      <c r="A178" s="41" t="s">
        <v>2</v>
      </c>
      <c r="B178" s="41" t="s">
        <v>207</v>
      </c>
      <c r="C178" s="39" t="s">
        <v>208</v>
      </c>
      <c r="D178" s="28"/>
      <c r="E178" s="28"/>
      <c r="F178" s="29"/>
      <c r="G178" s="39" t="s">
        <v>243</v>
      </c>
      <c r="H178" s="28"/>
      <c r="I178" s="28"/>
      <c r="J178" s="29"/>
      <c r="K178" s="39" t="s">
        <v>210</v>
      </c>
      <c r="L178" s="28"/>
      <c r="M178" s="28"/>
      <c r="N178" s="29"/>
      <c r="O178" s="39" t="s">
        <v>211</v>
      </c>
      <c r="P178" s="28"/>
      <c r="Q178" s="29"/>
      <c r="R178" s="39" t="s">
        <v>212</v>
      </c>
      <c r="S178" s="29"/>
      <c r="T178" s="39" t="s">
        <v>213</v>
      </c>
      <c r="U178" s="29"/>
      <c r="V178" s="39" t="s">
        <v>214</v>
      </c>
      <c r="W178" s="29"/>
      <c r="X178" s="39" t="s">
        <v>215</v>
      </c>
      <c r="Y178" s="29"/>
    </row>
    <row r="179" ht="15.75" customHeight="1">
      <c r="A179" s="16">
        <v>1.0</v>
      </c>
      <c r="B179" s="43" t="s">
        <v>438</v>
      </c>
      <c r="C179" s="55" t="s">
        <v>439</v>
      </c>
      <c r="D179" s="28"/>
      <c r="E179" s="28"/>
      <c r="F179" s="29"/>
      <c r="G179" s="44" t="s">
        <v>246</v>
      </c>
      <c r="H179" s="28"/>
      <c r="I179" s="28"/>
      <c r="J179" s="29"/>
      <c r="K179" s="44" t="s">
        <v>45</v>
      </c>
      <c r="L179" s="28"/>
      <c r="M179" s="28"/>
      <c r="N179" s="29"/>
      <c r="O179" s="44" t="s">
        <v>220</v>
      </c>
      <c r="P179" s="28"/>
      <c r="Q179" s="29"/>
      <c r="R179" s="44" t="s">
        <v>440</v>
      </c>
      <c r="S179" s="29"/>
      <c r="T179" s="45"/>
      <c r="U179" s="29"/>
      <c r="V179" s="45"/>
      <c r="W179" s="29"/>
      <c r="X179" s="44" t="s">
        <v>441</v>
      </c>
      <c r="Y179" s="29"/>
    </row>
    <row r="180" ht="15.75" customHeight="1">
      <c r="A180" s="16">
        <v>2.0</v>
      </c>
      <c r="B180" s="43" t="s">
        <v>216</v>
      </c>
      <c r="C180" s="56" t="s">
        <v>442</v>
      </c>
      <c r="D180" s="28"/>
      <c r="E180" s="28"/>
      <c r="F180" s="29"/>
      <c r="G180" s="44" t="s">
        <v>266</v>
      </c>
      <c r="H180" s="28"/>
      <c r="I180" s="28"/>
      <c r="J180" s="29"/>
      <c r="K180" s="44" t="s">
        <v>45</v>
      </c>
      <c r="L180" s="28"/>
      <c r="M180" s="28"/>
      <c r="N180" s="29"/>
      <c r="O180" s="44" t="s">
        <v>220</v>
      </c>
      <c r="P180" s="28"/>
      <c r="Q180" s="29"/>
      <c r="R180" s="44"/>
      <c r="S180" s="29"/>
      <c r="T180" s="44" t="s">
        <v>221</v>
      </c>
      <c r="U180" s="29"/>
      <c r="V180" s="45"/>
      <c r="W180" s="29"/>
      <c r="X180" s="44" t="s">
        <v>443</v>
      </c>
      <c r="Y180" s="29"/>
    </row>
    <row r="181" ht="15.75" customHeight="1">
      <c r="A181" s="16">
        <v>3.0</v>
      </c>
      <c r="B181" s="43" t="s">
        <v>444</v>
      </c>
      <c r="C181" s="44" t="s">
        <v>445</v>
      </c>
      <c r="D181" s="28"/>
      <c r="E181" s="28"/>
      <c r="F181" s="29"/>
      <c r="G181" s="44" t="s">
        <v>266</v>
      </c>
      <c r="H181" s="28"/>
      <c r="I181" s="28"/>
      <c r="J181" s="29"/>
      <c r="K181" s="44" t="s">
        <v>446</v>
      </c>
      <c r="L181" s="28"/>
      <c r="M181" s="28"/>
      <c r="N181" s="29"/>
      <c r="O181" s="44" t="s">
        <v>220</v>
      </c>
      <c r="P181" s="28"/>
      <c r="Q181" s="29"/>
      <c r="R181" s="44"/>
      <c r="S181" s="29"/>
      <c r="T181" s="44" t="s">
        <v>221</v>
      </c>
      <c r="U181" s="29"/>
      <c r="V181" s="45"/>
      <c r="W181" s="29"/>
      <c r="X181" s="44" t="s">
        <v>447</v>
      </c>
      <c r="Y181" s="29"/>
    </row>
    <row r="182" ht="15.75" customHeight="1">
      <c r="A182" s="16">
        <v>4.0</v>
      </c>
      <c r="B182" s="43" t="s">
        <v>448</v>
      </c>
      <c r="C182" s="58" t="s">
        <v>449</v>
      </c>
      <c r="D182" s="28"/>
      <c r="E182" s="28"/>
      <c r="F182" s="29"/>
      <c r="G182" s="44" t="s">
        <v>238</v>
      </c>
      <c r="H182" s="28"/>
      <c r="I182" s="28"/>
      <c r="J182" s="29"/>
      <c r="K182" s="44" t="s">
        <v>91</v>
      </c>
      <c r="L182" s="28"/>
      <c r="M182" s="28"/>
      <c r="N182" s="29"/>
      <c r="O182" s="44" t="s">
        <v>220</v>
      </c>
      <c r="P182" s="28"/>
      <c r="Q182" s="29"/>
      <c r="R182" s="45"/>
      <c r="S182" s="29"/>
      <c r="T182" s="45"/>
      <c r="U182" s="29"/>
      <c r="V182" s="45"/>
      <c r="W182" s="29"/>
      <c r="X182" s="44" t="s">
        <v>239</v>
      </c>
      <c r="Y182" s="29"/>
    </row>
    <row r="183" ht="15.75" customHeight="1">
      <c r="A183" s="16">
        <v>5.0</v>
      </c>
      <c r="B183" s="65" t="s">
        <v>450</v>
      </c>
      <c r="C183" s="59" t="s">
        <v>451</v>
      </c>
      <c r="D183" s="28"/>
      <c r="E183" s="28"/>
      <c r="F183" s="29"/>
      <c r="G183" s="44" t="s">
        <v>67</v>
      </c>
      <c r="H183" s="28"/>
      <c r="I183" s="28"/>
      <c r="J183" s="29"/>
      <c r="K183" s="44" t="s">
        <v>132</v>
      </c>
      <c r="L183" s="28"/>
      <c r="M183" s="28"/>
      <c r="N183" s="29"/>
      <c r="O183" s="44" t="s">
        <v>254</v>
      </c>
      <c r="P183" s="28"/>
      <c r="Q183" s="29"/>
      <c r="R183" s="45"/>
      <c r="S183" s="29"/>
      <c r="T183" s="45"/>
      <c r="U183" s="29"/>
      <c r="V183" s="45"/>
      <c r="W183" s="29"/>
      <c r="X183" s="44" t="s">
        <v>452</v>
      </c>
      <c r="Y183" s="29"/>
    </row>
    <row r="184" ht="15.75" customHeight="1">
      <c r="A184" s="47">
        <v>6.0</v>
      </c>
      <c r="B184" s="43" t="s">
        <v>240</v>
      </c>
      <c r="C184" s="44" t="s">
        <v>453</v>
      </c>
      <c r="D184" s="28"/>
      <c r="E184" s="28"/>
      <c r="F184" s="29"/>
      <c r="G184" s="44" t="s">
        <v>225</v>
      </c>
      <c r="H184" s="28"/>
      <c r="I184" s="28"/>
      <c r="J184" s="29"/>
      <c r="K184" s="44">
        <v>20.0</v>
      </c>
      <c r="L184" s="28"/>
      <c r="M184" s="28"/>
      <c r="N184" s="29"/>
      <c r="O184" s="44" t="s">
        <v>220</v>
      </c>
      <c r="P184" s="28"/>
      <c r="Q184" s="29"/>
      <c r="R184" s="45"/>
      <c r="S184" s="29"/>
      <c r="T184" s="45"/>
      <c r="U184" s="29"/>
      <c r="V184" s="45"/>
      <c r="W184" s="29"/>
      <c r="X184" s="44" t="s">
        <v>454</v>
      </c>
      <c r="Y184" s="29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1011">
    <mergeCell ref="O103:Q103"/>
    <mergeCell ref="R103:S103"/>
    <mergeCell ref="C100:F100"/>
    <mergeCell ref="C102:F102"/>
    <mergeCell ref="G102:J102"/>
    <mergeCell ref="K102:W102"/>
    <mergeCell ref="C103:F103"/>
    <mergeCell ref="G103:J103"/>
    <mergeCell ref="K103:N103"/>
    <mergeCell ref="G104:J104"/>
    <mergeCell ref="K104:N104"/>
    <mergeCell ref="O104:Q104"/>
    <mergeCell ref="R104:S104"/>
    <mergeCell ref="T104:U104"/>
    <mergeCell ref="V104:W104"/>
    <mergeCell ref="X104:Y104"/>
    <mergeCell ref="V105:W105"/>
    <mergeCell ref="X105:Y105"/>
    <mergeCell ref="C104:F104"/>
    <mergeCell ref="C105:F105"/>
    <mergeCell ref="G105:J105"/>
    <mergeCell ref="K105:N105"/>
    <mergeCell ref="O105:Q105"/>
    <mergeCell ref="R105:S105"/>
    <mergeCell ref="T105:U105"/>
    <mergeCell ref="G106:J106"/>
    <mergeCell ref="K106:N106"/>
    <mergeCell ref="O106:Q106"/>
    <mergeCell ref="R106:S106"/>
    <mergeCell ref="T106:U106"/>
    <mergeCell ref="V106:W106"/>
    <mergeCell ref="X106:Y106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V115:W115"/>
    <mergeCell ref="X115:Y115"/>
    <mergeCell ref="C114:F114"/>
    <mergeCell ref="C115:F115"/>
    <mergeCell ref="G115:J115"/>
    <mergeCell ref="K115:N115"/>
    <mergeCell ref="O115:Q115"/>
    <mergeCell ref="R115:S115"/>
    <mergeCell ref="T115:U115"/>
    <mergeCell ref="G116:J116"/>
    <mergeCell ref="K116:N116"/>
    <mergeCell ref="O116:Q116"/>
    <mergeCell ref="R116:S116"/>
    <mergeCell ref="T116:U116"/>
    <mergeCell ref="V116:W116"/>
    <mergeCell ref="X116:Y116"/>
    <mergeCell ref="C116:F116"/>
    <mergeCell ref="C117:F117"/>
    <mergeCell ref="G117:J117"/>
    <mergeCell ref="K117:N117"/>
    <mergeCell ref="O117:Q117"/>
    <mergeCell ref="R117:S117"/>
    <mergeCell ref="T117:U117"/>
    <mergeCell ref="T118:U118"/>
    <mergeCell ref="V118:W118"/>
    <mergeCell ref="V117:W117"/>
    <mergeCell ref="X117:Y117"/>
    <mergeCell ref="G118:J118"/>
    <mergeCell ref="K118:N118"/>
    <mergeCell ref="O118:Q118"/>
    <mergeCell ref="R118:S118"/>
    <mergeCell ref="X118:Y118"/>
    <mergeCell ref="G124:J124"/>
    <mergeCell ref="K124:N124"/>
    <mergeCell ref="O124:Q124"/>
    <mergeCell ref="R124:S124"/>
    <mergeCell ref="T124:U124"/>
    <mergeCell ref="V124:W124"/>
    <mergeCell ref="X124:Y124"/>
    <mergeCell ref="C124:F124"/>
    <mergeCell ref="C125:F125"/>
    <mergeCell ref="G125:J125"/>
    <mergeCell ref="K125:N125"/>
    <mergeCell ref="O125:Q125"/>
    <mergeCell ref="R125:S125"/>
    <mergeCell ref="T125:U125"/>
    <mergeCell ref="C106:F106"/>
    <mergeCell ref="G107:J107"/>
    <mergeCell ref="K107:N107"/>
    <mergeCell ref="O107:Q107"/>
    <mergeCell ref="R107:S107"/>
    <mergeCell ref="T107:U107"/>
    <mergeCell ref="V107:W107"/>
    <mergeCell ref="V111:W111"/>
    <mergeCell ref="X111:Y111"/>
    <mergeCell ref="T121:U121"/>
    <mergeCell ref="V121:W121"/>
    <mergeCell ref="X121:Y121"/>
    <mergeCell ref="C107:F107"/>
    <mergeCell ref="O121:Q121"/>
    <mergeCell ref="R121:S121"/>
    <mergeCell ref="C118:F118"/>
    <mergeCell ref="C120:F120"/>
    <mergeCell ref="G120:J120"/>
    <mergeCell ref="K120:W120"/>
    <mergeCell ref="C121:F121"/>
    <mergeCell ref="G121:J121"/>
    <mergeCell ref="K121:N121"/>
    <mergeCell ref="G122:J122"/>
    <mergeCell ref="K122:N122"/>
    <mergeCell ref="O122:Q122"/>
    <mergeCell ref="R122:S122"/>
    <mergeCell ref="T122:U122"/>
    <mergeCell ref="V122:W122"/>
    <mergeCell ref="X122:Y122"/>
    <mergeCell ref="V123:W123"/>
    <mergeCell ref="X123:Y123"/>
    <mergeCell ref="C122:F122"/>
    <mergeCell ref="C123:F123"/>
    <mergeCell ref="G123:J123"/>
    <mergeCell ref="K123:N123"/>
    <mergeCell ref="O123:Q123"/>
    <mergeCell ref="R123:S123"/>
    <mergeCell ref="T123:U123"/>
    <mergeCell ref="V125:W125"/>
    <mergeCell ref="X125:Y125"/>
    <mergeCell ref="T128:U128"/>
    <mergeCell ref="V128:W128"/>
    <mergeCell ref="X128:Y128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T135:U135"/>
    <mergeCell ref="V135:W135"/>
    <mergeCell ref="V134:W134"/>
    <mergeCell ref="X134:Y134"/>
    <mergeCell ref="G135:J135"/>
    <mergeCell ref="K135:N135"/>
    <mergeCell ref="O135:Q135"/>
    <mergeCell ref="R135:S135"/>
    <mergeCell ref="X135:Y135"/>
    <mergeCell ref="O128:Q128"/>
    <mergeCell ref="R128:S128"/>
    <mergeCell ref="C127:F127"/>
    <mergeCell ref="G127:J127"/>
    <mergeCell ref="K127:W127"/>
    <mergeCell ref="C128:F128"/>
    <mergeCell ref="G128:J128"/>
    <mergeCell ref="K128:N128"/>
    <mergeCell ref="G129:J129"/>
    <mergeCell ref="K129:N129"/>
    <mergeCell ref="O129:Q129"/>
    <mergeCell ref="R129:S129"/>
    <mergeCell ref="T129:U129"/>
    <mergeCell ref="V129:W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V132:W132"/>
    <mergeCell ref="X132:Y132"/>
    <mergeCell ref="T139:U139"/>
    <mergeCell ref="V139:W139"/>
    <mergeCell ref="X139:Y139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G153:J153"/>
    <mergeCell ref="K153:N153"/>
    <mergeCell ref="O153:Q153"/>
    <mergeCell ref="R153:S153"/>
    <mergeCell ref="T153:U153"/>
    <mergeCell ref="V153:W153"/>
    <mergeCell ref="X153:Y153"/>
    <mergeCell ref="C153:F153"/>
    <mergeCell ref="O139:Q139"/>
    <mergeCell ref="R139:S139"/>
    <mergeCell ref="C135:F135"/>
    <mergeCell ref="C138:F138"/>
    <mergeCell ref="G138:J138"/>
    <mergeCell ref="K138:W138"/>
    <mergeCell ref="C139:F139"/>
    <mergeCell ref="G139:J139"/>
    <mergeCell ref="K139:N139"/>
    <mergeCell ref="G140:J140"/>
    <mergeCell ref="K140:N140"/>
    <mergeCell ref="O140:Q140"/>
    <mergeCell ref="R140:S140"/>
    <mergeCell ref="T140:U140"/>
    <mergeCell ref="V140:W140"/>
    <mergeCell ref="X140:Y140"/>
    <mergeCell ref="V141:W141"/>
    <mergeCell ref="X141:Y141"/>
    <mergeCell ref="C140:F140"/>
    <mergeCell ref="C141:F141"/>
    <mergeCell ref="G141:J141"/>
    <mergeCell ref="K141:N141"/>
    <mergeCell ref="O141:Q141"/>
    <mergeCell ref="R141:S141"/>
    <mergeCell ref="T141:U141"/>
    <mergeCell ref="V143:W143"/>
    <mergeCell ref="X143:Y143"/>
    <mergeCell ref="T148:U148"/>
    <mergeCell ref="V148:W148"/>
    <mergeCell ref="X148:Y148"/>
    <mergeCell ref="O148:Q148"/>
    <mergeCell ref="R148:S148"/>
    <mergeCell ref="C147:F147"/>
    <mergeCell ref="G147:J147"/>
    <mergeCell ref="K147:W147"/>
    <mergeCell ref="C148:F148"/>
    <mergeCell ref="G148:J148"/>
    <mergeCell ref="K148:N148"/>
    <mergeCell ref="G149:J149"/>
    <mergeCell ref="K149:N149"/>
    <mergeCell ref="O149:Q149"/>
    <mergeCell ref="R149:S149"/>
    <mergeCell ref="T149:U149"/>
    <mergeCell ref="V149:W149"/>
    <mergeCell ref="X149:Y149"/>
    <mergeCell ref="V150:W150"/>
    <mergeCell ref="X150:Y150"/>
    <mergeCell ref="C149:F149"/>
    <mergeCell ref="C150:F150"/>
    <mergeCell ref="G150:J150"/>
    <mergeCell ref="K150:N150"/>
    <mergeCell ref="O150:Q150"/>
    <mergeCell ref="R150:S150"/>
    <mergeCell ref="T150:U150"/>
    <mergeCell ref="V152:W152"/>
    <mergeCell ref="X152:Y152"/>
    <mergeCell ref="T157:U157"/>
    <mergeCell ref="V157:W157"/>
    <mergeCell ref="X157:Y157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C163:F163"/>
    <mergeCell ref="G163:J163"/>
    <mergeCell ref="K163:N163"/>
    <mergeCell ref="O163:Q163"/>
    <mergeCell ref="R163:S163"/>
    <mergeCell ref="T163:U163"/>
    <mergeCell ref="V164:W164"/>
    <mergeCell ref="X164:Y164"/>
    <mergeCell ref="V163:W163"/>
    <mergeCell ref="X163:Y163"/>
    <mergeCell ref="G164:J164"/>
    <mergeCell ref="K164:N164"/>
    <mergeCell ref="O164:Q164"/>
    <mergeCell ref="R164:S164"/>
    <mergeCell ref="T164:U164"/>
    <mergeCell ref="O157:Q157"/>
    <mergeCell ref="R157:S157"/>
    <mergeCell ref="C156:F156"/>
    <mergeCell ref="G156:J156"/>
    <mergeCell ref="K156:W156"/>
    <mergeCell ref="C157:F157"/>
    <mergeCell ref="G157:J157"/>
    <mergeCell ref="K157:N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V161:W161"/>
    <mergeCell ref="X161:Y161"/>
    <mergeCell ref="V169:W169"/>
    <mergeCell ref="X169:Y169"/>
    <mergeCell ref="G172:J172"/>
    <mergeCell ref="K172:N172"/>
    <mergeCell ref="O172:Q172"/>
    <mergeCell ref="R172:S172"/>
    <mergeCell ref="T172:U172"/>
    <mergeCell ref="V172:W172"/>
    <mergeCell ref="X172:Y172"/>
    <mergeCell ref="C172:F172"/>
    <mergeCell ref="C173:F173"/>
    <mergeCell ref="G173:J173"/>
    <mergeCell ref="K173:N173"/>
    <mergeCell ref="O173:Q173"/>
    <mergeCell ref="R173:S173"/>
    <mergeCell ref="T173:U173"/>
    <mergeCell ref="F12:W12"/>
    <mergeCell ref="F13:W13"/>
    <mergeCell ref="X13:Y13"/>
    <mergeCell ref="X14:Y14"/>
    <mergeCell ref="X15:Y15"/>
    <mergeCell ref="X16:Y16"/>
    <mergeCell ref="X17:Y17"/>
    <mergeCell ref="F17:W17"/>
    <mergeCell ref="F18:W18"/>
    <mergeCell ref="X18:Y18"/>
    <mergeCell ref="F19:W19"/>
    <mergeCell ref="X19:Y19"/>
    <mergeCell ref="F20:W20"/>
    <mergeCell ref="X20:Y20"/>
    <mergeCell ref="B18:E18"/>
    <mergeCell ref="B19:E19"/>
    <mergeCell ref="B20:E20"/>
    <mergeCell ref="B21:E21"/>
    <mergeCell ref="C24:F24"/>
    <mergeCell ref="G24:J24"/>
    <mergeCell ref="G25:J25"/>
    <mergeCell ref="X21:Y21"/>
    <mergeCell ref="A22:Y22"/>
    <mergeCell ref="K24:W24"/>
    <mergeCell ref="K25:N25"/>
    <mergeCell ref="O25:Q25"/>
    <mergeCell ref="R25:S25"/>
    <mergeCell ref="X25:Y25"/>
    <mergeCell ref="F21:W21"/>
    <mergeCell ref="T25:U25"/>
    <mergeCell ref="V25:W25"/>
    <mergeCell ref="C25:F25"/>
    <mergeCell ref="C26:F26"/>
    <mergeCell ref="G26:J26"/>
    <mergeCell ref="K26:N26"/>
    <mergeCell ref="O26:Q26"/>
    <mergeCell ref="R26:S26"/>
    <mergeCell ref="T26:U26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X7:Y7"/>
    <mergeCell ref="F8:W8"/>
    <mergeCell ref="X8:Y8"/>
    <mergeCell ref="B4:E4"/>
    <mergeCell ref="B5:E5"/>
    <mergeCell ref="B6:E6"/>
    <mergeCell ref="B7:E7"/>
    <mergeCell ref="B8:E8"/>
    <mergeCell ref="B9:E9"/>
    <mergeCell ref="B10:E10"/>
    <mergeCell ref="F9:W9"/>
    <mergeCell ref="X9:Y9"/>
    <mergeCell ref="F10:W10"/>
    <mergeCell ref="X10:Y10"/>
    <mergeCell ref="F11:W11"/>
    <mergeCell ref="X11:Y11"/>
    <mergeCell ref="X12:Y12"/>
    <mergeCell ref="B11:E11"/>
    <mergeCell ref="B12:E12"/>
    <mergeCell ref="B13:E13"/>
    <mergeCell ref="B14:E14"/>
    <mergeCell ref="B15:E15"/>
    <mergeCell ref="B16:E16"/>
    <mergeCell ref="B17:E17"/>
    <mergeCell ref="V26:W26"/>
    <mergeCell ref="X26:Y26"/>
    <mergeCell ref="V28:W28"/>
    <mergeCell ref="X28:Y28"/>
    <mergeCell ref="G31:J31"/>
    <mergeCell ref="K31:N31"/>
    <mergeCell ref="O31:Q31"/>
    <mergeCell ref="R31:S31"/>
    <mergeCell ref="T31:U31"/>
    <mergeCell ref="V31:W31"/>
    <mergeCell ref="X31:Y31"/>
    <mergeCell ref="C31:F31"/>
    <mergeCell ref="G32:J32"/>
    <mergeCell ref="K32:N32"/>
    <mergeCell ref="O32:Q32"/>
    <mergeCell ref="R32:S32"/>
    <mergeCell ref="T32:U32"/>
    <mergeCell ref="G37:J37"/>
    <mergeCell ref="K37:N37"/>
    <mergeCell ref="O37:Q37"/>
    <mergeCell ref="R37:S37"/>
    <mergeCell ref="T37:U37"/>
    <mergeCell ref="V37:W37"/>
    <mergeCell ref="X37:Y37"/>
    <mergeCell ref="C37:F37"/>
    <mergeCell ref="O41:Q41"/>
    <mergeCell ref="R41:S41"/>
    <mergeCell ref="C40:F40"/>
    <mergeCell ref="G40:J40"/>
    <mergeCell ref="K40:W40"/>
    <mergeCell ref="C41:F41"/>
    <mergeCell ref="G41:J41"/>
    <mergeCell ref="K41:N41"/>
    <mergeCell ref="G42:J42"/>
    <mergeCell ref="K42:N42"/>
    <mergeCell ref="O42:Q42"/>
    <mergeCell ref="R42:S42"/>
    <mergeCell ref="T42:U42"/>
    <mergeCell ref="V42:W42"/>
    <mergeCell ref="X42:Y42"/>
    <mergeCell ref="V43:W43"/>
    <mergeCell ref="X43:Y43"/>
    <mergeCell ref="C42:F42"/>
    <mergeCell ref="C43:F43"/>
    <mergeCell ref="G43:J43"/>
    <mergeCell ref="K43:N43"/>
    <mergeCell ref="O43:Q43"/>
    <mergeCell ref="R43:S43"/>
    <mergeCell ref="T43:U43"/>
    <mergeCell ref="T47:U47"/>
    <mergeCell ref="V47:W47"/>
    <mergeCell ref="X47:Y47"/>
    <mergeCell ref="O47:Q47"/>
    <mergeCell ref="R47:S47"/>
    <mergeCell ref="C46:F46"/>
    <mergeCell ref="G46:J46"/>
    <mergeCell ref="K46:W46"/>
    <mergeCell ref="C47:F47"/>
    <mergeCell ref="G47:J47"/>
    <mergeCell ref="K47:N47"/>
    <mergeCell ref="C48:F48"/>
    <mergeCell ref="G48:J48"/>
    <mergeCell ref="K48:N48"/>
    <mergeCell ref="O48:Q48"/>
    <mergeCell ref="R48:S48"/>
    <mergeCell ref="T48:U48"/>
    <mergeCell ref="V48:W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G29:J29"/>
    <mergeCell ref="K29:N29"/>
    <mergeCell ref="O29:Q29"/>
    <mergeCell ref="R29:S29"/>
    <mergeCell ref="T29:U29"/>
    <mergeCell ref="V29:W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V32:W32"/>
    <mergeCell ref="X32:Y32"/>
    <mergeCell ref="T34:U34"/>
    <mergeCell ref="V34:W34"/>
    <mergeCell ref="X34:Y34"/>
    <mergeCell ref="O34:Q34"/>
    <mergeCell ref="R34:S34"/>
    <mergeCell ref="C32:F32"/>
    <mergeCell ref="C33:F33"/>
    <mergeCell ref="G33:J33"/>
    <mergeCell ref="K33:W33"/>
    <mergeCell ref="C34:F34"/>
    <mergeCell ref="G34:J34"/>
    <mergeCell ref="K34:N34"/>
    <mergeCell ref="G35:J35"/>
    <mergeCell ref="K35:N35"/>
    <mergeCell ref="O35:Q35"/>
    <mergeCell ref="R35:S35"/>
    <mergeCell ref="T35:U35"/>
    <mergeCell ref="V35:W35"/>
    <mergeCell ref="X35:Y35"/>
    <mergeCell ref="V36:W36"/>
    <mergeCell ref="X36:Y36"/>
    <mergeCell ref="C35:F35"/>
    <mergeCell ref="C36:F36"/>
    <mergeCell ref="G36:J36"/>
    <mergeCell ref="K36:N36"/>
    <mergeCell ref="O36:Q36"/>
    <mergeCell ref="R36:S36"/>
    <mergeCell ref="T36:U36"/>
    <mergeCell ref="T41:U41"/>
    <mergeCell ref="V41:W41"/>
    <mergeCell ref="X41:Y41"/>
    <mergeCell ref="G44:J44"/>
    <mergeCell ref="K44:N44"/>
    <mergeCell ref="O44:Q44"/>
    <mergeCell ref="R44:S44"/>
    <mergeCell ref="T44:U44"/>
    <mergeCell ref="V44:W44"/>
    <mergeCell ref="X44:Y44"/>
    <mergeCell ref="C44:F44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C58:F58"/>
    <mergeCell ref="G59:J59"/>
    <mergeCell ref="K59:N59"/>
    <mergeCell ref="O59:Q59"/>
    <mergeCell ref="R59:S59"/>
    <mergeCell ref="T59:U59"/>
    <mergeCell ref="V59:W59"/>
    <mergeCell ref="C59:F59"/>
    <mergeCell ref="C60:F60"/>
    <mergeCell ref="K60:N60"/>
    <mergeCell ref="O60:Q60"/>
    <mergeCell ref="R60:S60"/>
    <mergeCell ref="T60:U60"/>
    <mergeCell ref="V60:W60"/>
    <mergeCell ref="G60:J60"/>
    <mergeCell ref="G61:J61"/>
    <mergeCell ref="K61:N61"/>
    <mergeCell ref="O61:Q61"/>
    <mergeCell ref="R61:S61"/>
    <mergeCell ref="T61:U61"/>
    <mergeCell ref="V61:W61"/>
    <mergeCell ref="C62:F62"/>
    <mergeCell ref="G62:J62"/>
    <mergeCell ref="K62:N62"/>
    <mergeCell ref="O62:Q62"/>
    <mergeCell ref="R62:S62"/>
    <mergeCell ref="T62:U62"/>
    <mergeCell ref="V62:W62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C53:F53"/>
    <mergeCell ref="G53:J53"/>
    <mergeCell ref="K53:N53"/>
    <mergeCell ref="O53:Q53"/>
    <mergeCell ref="R53:S53"/>
    <mergeCell ref="T53:U53"/>
    <mergeCell ref="V53:W53"/>
    <mergeCell ref="O57:Q57"/>
    <mergeCell ref="R57:S57"/>
    <mergeCell ref="C56:F56"/>
    <mergeCell ref="G56:J56"/>
    <mergeCell ref="K56:W56"/>
    <mergeCell ref="C57:F57"/>
    <mergeCell ref="G57:J57"/>
    <mergeCell ref="K57:N57"/>
    <mergeCell ref="R69:S69"/>
    <mergeCell ref="T69:U69"/>
    <mergeCell ref="V69:W69"/>
    <mergeCell ref="X69:Y69"/>
    <mergeCell ref="G70:J70"/>
    <mergeCell ref="K70:N70"/>
    <mergeCell ref="O70:Q70"/>
    <mergeCell ref="R70:S70"/>
    <mergeCell ref="T70:U70"/>
    <mergeCell ref="V70:W70"/>
    <mergeCell ref="X70:Y70"/>
    <mergeCell ref="V71:W71"/>
    <mergeCell ref="X71:Y71"/>
    <mergeCell ref="C70:F70"/>
    <mergeCell ref="C71:F71"/>
    <mergeCell ref="G71:J71"/>
    <mergeCell ref="K71:N71"/>
    <mergeCell ref="O71:Q71"/>
    <mergeCell ref="R71:S71"/>
    <mergeCell ref="T71:U71"/>
    <mergeCell ref="G72:J72"/>
    <mergeCell ref="K72:N72"/>
    <mergeCell ref="O72:Q72"/>
    <mergeCell ref="R72:S72"/>
    <mergeCell ref="T72:U72"/>
    <mergeCell ref="V72:W72"/>
    <mergeCell ref="X72:Y72"/>
    <mergeCell ref="C72:F72"/>
    <mergeCell ref="C73:F73"/>
    <mergeCell ref="G73:J73"/>
    <mergeCell ref="K73:N73"/>
    <mergeCell ref="O73:Q73"/>
    <mergeCell ref="R73:S73"/>
    <mergeCell ref="T73:U73"/>
    <mergeCell ref="V73:W73"/>
    <mergeCell ref="X73:Y73"/>
    <mergeCell ref="G63:J63"/>
    <mergeCell ref="K63:N63"/>
    <mergeCell ref="O63:Q63"/>
    <mergeCell ref="R63:S63"/>
    <mergeCell ref="T63:U63"/>
    <mergeCell ref="V63:W63"/>
    <mergeCell ref="K67:N67"/>
    <mergeCell ref="O67:Q67"/>
    <mergeCell ref="K68:N68"/>
    <mergeCell ref="O68:Q68"/>
    <mergeCell ref="R68:S68"/>
    <mergeCell ref="T68:U68"/>
    <mergeCell ref="V68:W68"/>
    <mergeCell ref="X68:Y68"/>
    <mergeCell ref="R67:S67"/>
    <mergeCell ref="T67:U67"/>
    <mergeCell ref="X67:Y67"/>
    <mergeCell ref="C66:F66"/>
    <mergeCell ref="G66:J66"/>
    <mergeCell ref="K66:W66"/>
    <mergeCell ref="G67:J67"/>
    <mergeCell ref="V67:W67"/>
    <mergeCell ref="C67:F67"/>
    <mergeCell ref="C68:F68"/>
    <mergeCell ref="G68:J68"/>
    <mergeCell ref="C69:F69"/>
    <mergeCell ref="G69:J69"/>
    <mergeCell ref="K69:N69"/>
    <mergeCell ref="O69:Q69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  <mergeCell ref="V82:W82"/>
    <mergeCell ref="X82:Y82"/>
    <mergeCell ref="O76:Q76"/>
    <mergeCell ref="R76:S76"/>
    <mergeCell ref="C75:F75"/>
    <mergeCell ref="G75:J75"/>
    <mergeCell ref="K75:W75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V80:W80"/>
    <mergeCell ref="X80:Y80"/>
    <mergeCell ref="T85:U85"/>
    <mergeCell ref="V85:W85"/>
    <mergeCell ref="X85:Y85"/>
    <mergeCell ref="O85:Q85"/>
    <mergeCell ref="R85:S85"/>
    <mergeCell ref="C84:F84"/>
    <mergeCell ref="G84:J84"/>
    <mergeCell ref="K84:W84"/>
    <mergeCell ref="C85:F85"/>
    <mergeCell ref="G85:J85"/>
    <mergeCell ref="K85:N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V89:W89"/>
    <mergeCell ref="X89:Y89"/>
    <mergeCell ref="T93:U93"/>
    <mergeCell ref="V93:W93"/>
    <mergeCell ref="X93:Y93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G98:J98"/>
    <mergeCell ref="K98:N98"/>
    <mergeCell ref="O98:Q98"/>
    <mergeCell ref="R98:S98"/>
    <mergeCell ref="T98:U98"/>
    <mergeCell ref="V98:W98"/>
    <mergeCell ref="X98:Y98"/>
    <mergeCell ref="C98:F98"/>
    <mergeCell ref="C99:F99"/>
    <mergeCell ref="G99:J99"/>
    <mergeCell ref="K99:N99"/>
    <mergeCell ref="O99:Q99"/>
    <mergeCell ref="R99:S99"/>
    <mergeCell ref="T99:U99"/>
    <mergeCell ref="T100:U100"/>
    <mergeCell ref="V100:W100"/>
    <mergeCell ref="V99:W99"/>
    <mergeCell ref="X99:Y99"/>
    <mergeCell ref="G100:J100"/>
    <mergeCell ref="K100:N100"/>
    <mergeCell ref="O100:Q100"/>
    <mergeCell ref="R100:S100"/>
    <mergeCell ref="X100:Y100"/>
    <mergeCell ref="O93:Q93"/>
    <mergeCell ref="R93:S93"/>
    <mergeCell ref="C92:F92"/>
    <mergeCell ref="G92:J92"/>
    <mergeCell ref="K92:W92"/>
    <mergeCell ref="C93:F93"/>
    <mergeCell ref="G93:J93"/>
    <mergeCell ref="K93:N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T103:U103"/>
    <mergeCell ref="V103:W103"/>
    <mergeCell ref="X103:Y103"/>
    <mergeCell ref="R111:S111"/>
    <mergeCell ref="T111:U111"/>
    <mergeCell ref="C110:F110"/>
    <mergeCell ref="G110:J110"/>
    <mergeCell ref="K110:W110"/>
    <mergeCell ref="C111:F111"/>
    <mergeCell ref="G111:J111"/>
    <mergeCell ref="K111:N111"/>
    <mergeCell ref="O111:Q111"/>
    <mergeCell ref="R169:S169"/>
    <mergeCell ref="T169:U169"/>
    <mergeCell ref="C168:F168"/>
    <mergeCell ref="G168:J168"/>
    <mergeCell ref="K168:W168"/>
    <mergeCell ref="C169:F169"/>
    <mergeCell ref="G169:J169"/>
    <mergeCell ref="K169:N169"/>
    <mergeCell ref="O169:Q169"/>
    <mergeCell ref="G170:J170"/>
    <mergeCell ref="K170:N170"/>
    <mergeCell ref="O170:Q170"/>
    <mergeCell ref="R170:S170"/>
    <mergeCell ref="T170:U170"/>
    <mergeCell ref="V170:W170"/>
    <mergeCell ref="X170:Y170"/>
    <mergeCell ref="V171:W171"/>
    <mergeCell ref="X171:Y171"/>
    <mergeCell ref="C170:F170"/>
    <mergeCell ref="C171:F171"/>
    <mergeCell ref="G171:J171"/>
    <mergeCell ref="K171:N171"/>
    <mergeCell ref="O171:Q171"/>
    <mergeCell ref="R171:S171"/>
    <mergeCell ref="T171:U171"/>
    <mergeCell ref="V173:W173"/>
    <mergeCell ref="X173:Y173"/>
    <mergeCell ref="T178:U178"/>
    <mergeCell ref="V178:W178"/>
    <mergeCell ref="X178:Y178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G183:J183"/>
    <mergeCell ref="K183:N183"/>
    <mergeCell ref="O183:Q183"/>
    <mergeCell ref="R183:S183"/>
    <mergeCell ref="T183:U183"/>
    <mergeCell ref="V183:W183"/>
    <mergeCell ref="X183:Y183"/>
    <mergeCell ref="C183:F183"/>
    <mergeCell ref="C184:F184"/>
    <mergeCell ref="G184:J184"/>
    <mergeCell ref="K184:N184"/>
    <mergeCell ref="O184:Q184"/>
    <mergeCell ref="R184:S184"/>
    <mergeCell ref="T184:U184"/>
    <mergeCell ref="O178:Q178"/>
    <mergeCell ref="R178:S178"/>
    <mergeCell ref="C177:F177"/>
    <mergeCell ref="G177:J177"/>
    <mergeCell ref="K177:W177"/>
    <mergeCell ref="C178:F178"/>
    <mergeCell ref="G178:J178"/>
    <mergeCell ref="K178:N178"/>
    <mergeCell ref="G179:J179"/>
    <mergeCell ref="K179:N179"/>
    <mergeCell ref="O179:Q179"/>
    <mergeCell ref="R179:S179"/>
    <mergeCell ref="T179:U179"/>
    <mergeCell ref="V179:W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V182:W182"/>
    <mergeCell ref="X182:Y182"/>
    <mergeCell ref="V184:W184"/>
    <mergeCell ref="X184:Y184"/>
  </mergeCells>
  <drawing r:id="rId1"/>
</worksheet>
</file>